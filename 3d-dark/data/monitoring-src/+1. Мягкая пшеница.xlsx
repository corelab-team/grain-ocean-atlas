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I:\Информационный\16- МОНИТОРИНГ\Мониторинг еженедельный 2026\!Отчеты еженедельные\16 неделя на 28.09.2026\ламинирование\для СМИ\"/>
    </mc:Choice>
  </mc:AlternateContent>
  <xr:revisionPtr revIDLastSave="0" documentId="13_ncr:1_{E819CB6B-498A-4A4B-A359-B8859E3527C5}" xr6:coauthVersionLast="36" xr6:coauthVersionMax="36" xr10:uidLastSave="{00000000-0000-0000-0000-000000000000}"/>
  <bookViews>
    <workbookView xWindow="0" yWindow="0" windowWidth="18570" windowHeight="10200" xr2:uid="{00000000-000D-0000-FFFF-FFFF00000000}"/>
  </bookViews>
  <sheets>
    <sheet name="Пшеница мягкая 28 сен" sheetId="48" r:id="rId1"/>
    <sheet name="цвет (стрелочки)" sheetId="72" state="hidden" r:id="rId2"/>
  </sheets>
  <definedNames>
    <definedName name="_xlnm._FilterDatabase" localSheetId="0" hidden="1">'Пшеница мягкая 28 сен'!$A$4:$P$78</definedName>
    <definedName name="_xlnm._FilterDatabase" localSheetId="1" hidden="1">'цвет (стрелочки)'!$A$5:$EQ$7</definedName>
    <definedName name="_xlnm.Print_Titles" localSheetId="0">'Пшеница мягкая 28 сен'!$4:$5</definedName>
    <definedName name="_xlnm.Print_Titles" localSheetId="1">'цвет (стрелочки)'!$4:$5</definedName>
    <definedName name="_xlnm.Print_Area" localSheetId="0">'Пшеница мягкая 28 сен'!$A$1:$P$78</definedName>
    <definedName name="_xlnm.Print_Area" localSheetId="1">'цвет (стрелочки)'!$A$1:$O$39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9" i="72" l="1"/>
  <c r="L38" i="72"/>
  <c r="H39" i="72"/>
  <c r="H38" i="72"/>
  <c r="D27" i="72"/>
  <c r="D26" i="72"/>
  <c r="D25" i="72"/>
  <c r="L32" i="72"/>
  <c r="L29" i="72"/>
  <c r="J24" i="72"/>
  <c r="J23" i="72"/>
  <c r="H24" i="72"/>
  <c r="H23" i="72"/>
  <c r="F24" i="72"/>
  <c r="F23" i="72"/>
  <c r="F13" i="72"/>
  <c r="N7" i="72"/>
  <c r="N8" i="72"/>
  <c r="N9" i="72"/>
  <c r="N10" i="72"/>
  <c r="N11" i="72"/>
  <c r="N12" i="72"/>
  <c r="N13" i="72"/>
  <c r="N14" i="72"/>
  <c r="N15" i="72"/>
  <c r="N16" i="72"/>
  <c r="N17" i="72"/>
  <c r="N18" i="72"/>
  <c r="N19" i="72"/>
  <c r="N20" i="72"/>
  <c r="N21" i="72"/>
  <c r="N22" i="72"/>
  <c r="N23" i="72"/>
  <c r="N24" i="72"/>
  <c r="N25" i="72"/>
  <c r="N26" i="72"/>
  <c r="N27" i="72"/>
  <c r="N28" i="72"/>
  <c r="N29" i="72"/>
  <c r="N30" i="72"/>
  <c r="N31" i="72"/>
  <c r="N32" i="72"/>
  <c r="N33" i="72"/>
  <c r="N34" i="72"/>
  <c r="N35" i="72"/>
  <c r="N36" i="72"/>
  <c r="N37" i="72"/>
  <c r="N38" i="72"/>
  <c r="N39" i="72"/>
  <c r="N40" i="72"/>
  <c r="N41" i="72"/>
  <c r="N42" i="72"/>
  <c r="N43" i="72"/>
  <c r="N44" i="72"/>
  <c r="N45" i="72"/>
  <c r="N46" i="72"/>
  <c r="N47" i="72"/>
  <c r="N48" i="72"/>
  <c r="N49" i="72"/>
  <c r="N50" i="72"/>
  <c r="N51" i="72"/>
  <c r="N52" i="72"/>
  <c r="N53" i="72"/>
  <c r="N54" i="72"/>
  <c r="N55" i="72"/>
  <c r="N56" i="72"/>
  <c r="N57" i="72"/>
  <c r="N58" i="72"/>
  <c r="N59" i="72"/>
  <c r="N60" i="72"/>
  <c r="N61" i="72"/>
  <c r="N62" i="72"/>
  <c r="N63" i="72"/>
  <c r="N64" i="72"/>
  <c r="N65" i="72"/>
  <c r="N66" i="72"/>
  <c r="N67" i="72"/>
  <c r="N68" i="72"/>
  <c r="N69" i="72"/>
  <c r="N70" i="72"/>
  <c r="N71" i="72"/>
  <c r="N72" i="72"/>
  <c r="N73" i="72"/>
  <c r="N74" i="72"/>
  <c r="N75" i="72"/>
  <c r="N76" i="72"/>
  <c r="N77" i="72"/>
  <c r="N78" i="72"/>
  <c r="N79" i="72"/>
  <c r="N80" i="72"/>
  <c r="N81" i="72"/>
  <c r="N82" i="72"/>
  <c r="N83" i="72"/>
  <c r="N84" i="72"/>
  <c r="N85" i="72"/>
  <c r="N86" i="72"/>
  <c r="N87" i="72"/>
  <c r="N6" i="72"/>
  <c r="D7" i="72"/>
  <c r="D8" i="72"/>
  <c r="D9" i="72"/>
  <c r="D10" i="72"/>
  <c r="D11" i="72"/>
  <c r="D12" i="72"/>
  <c r="D13" i="72"/>
  <c r="D14" i="72"/>
  <c r="D15" i="72"/>
  <c r="D16" i="72"/>
  <c r="D17" i="72"/>
  <c r="D18" i="72"/>
  <c r="D19" i="72"/>
  <c r="D20" i="72"/>
  <c r="D21" i="72"/>
  <c r="D22" i="72"/>
  <c r="D23" i="72"/>
  <c r="D24" i="72"/>
  <c r="D28" i="72"/>
  <c r="D29" i="72"/>
  <c r="D30" i="72"/>
  <c r="D31" i="72"/>
  <c r="D32" i="72"/>
  <c r="D33" i="72"/>
  <c r="D34" i="72"/>
  <c r="D35" i="72"/>
  <c r="D36" i="72"/>
  <c r="D37" i="72"/>
  <c r="D38" i="72"/>
  <c r="D39" i="72"/>
  <c r="D40" i="72"/>
  <c r="D41" i="72"/>
  <c r="D42" i="72"/>
  <c r="D43" i="72"/>
  <c r="D44" i="72"/>
  <c r="D45" i="72"/>
  <c r="D46" i="72"/>
  <c r="D47" i="72"/>
  <c r="D48" i="72"/>
  <c r="D49" i="72"/>
  <c r="D50" i="72"/>
  <c r="D51" i="72"/>
  <c r="D52" i="72"/>
  <c r="D53" i="72"/>
  <c r="D54" i="72"/>
  <c r="D55" i="72"/>
  <c r="D56" i="72"/>
  <c r="D57" i="72"/>
  <c r="D58" i="72"/>
  <c r="D59" i="72"/>
  <c r="D60" i="72"/>
  <c r="D61" i="72"/>
  <c r="D62" i="72"/>
  <c r="D63" i="72"/>
  <c r="D64" i="72"/>
  <c r="D65" i="72"/>
  <c r="D66" i="72"/>
  <c r="D67" i="72"/>
  <c r="D68" i="72"/>
  <c r="D69" i="72"/>
  <c r="D70" i="72"/>
  <c r="D71" i="72"/>
  <c r="D72" i="72"/>
  <c r="D73" i="72"/>
  <c r="D74" i="72"/>
  <c r="D75" i="72"/>
  <c r="D76" i="72"/>
  <c r="D77" i="72"/>
  <c r="D78" i="72"/>
  <c r="D79" i="72"/>
  <c r="D80" i="72"/>
  <c r="D81" i="72"/>
  <c r="D82" i="72"/>
  <c r="D83" i="72"/>
  <c r="D84" i="72"/>
  <c r="D85" i="72"/>
  <c r="D86" i="72"/>
  <c r="D87" i="72"/>
  <c r="B7" i="72"/>
  <c r="B8" i="72"/>
  <c r="B9" i="72"/>
  <c r="B10" i="72"/>
  <c r="B11" i="72"/>
  <c r="B12" i="72"/>
  <c r="B13" i="72"/>
  <c r="B14" i="72"/>
  <c r="B15" i="72"/>
  <c r="B16" i="72"/>
  <c r="B17" i="72"/>
  <c r="B18" i="72"/>
  <c r="B19" i="72"/>
  <c r="B20" i="72"/>
  <c r="B21" i="72"/>
  <c r="B22" i="72"/>
  <c r="B23" i="72"/>
  <c r="B24" i="72"/>
  <c r="B25" i="72"/>
  <c r="B26" i="72"/>
  <c r="B27" i="72"/>
  <c r="B28" i="72"/>
  <c r="B29" i="72"/>
  <c r="B30" i="72"/>
  <c r="B31" i="72"/>
  <c r="B32" i="72"/>
  <c r="B33" i="72"/>
  <c r="B34" i="72"/>
  <c r="B35" i="72"/>
  <c r="B36" i="72"/>
  <c r="B37" i="72"/>
  <c r="B38" i="72"/>
  <c r="B39" i="72"/>
  <c r="B40" i="72"/>
  <c r="B41" i="72"/>
  <c r="B42" i="72"/>
  <c r="B43" i="72"/>
  <c r="B44" i="72"/>
  <c r="B45" i="72"/>
  <c r="B46" i="72"/>
  <c r="B47" i="72"/>
  <c r="B48" i="72"/>
  <c r="B49" i="72"/>
  <c r="B50" i="72"/>
  <c r="B51" i="72"/>
  <c r="B52" i="72"/>
  <c r="B53" i="72"/>
  <c r="B54" i="72"/>
  <c r="B55" i="72"/>
  <c r="B56" i="72"/>
  <c r="B57" i="72"/>
  <c r="B58" i="72"/>
  <c r="B59" i="72"/>
  <c r="B60" i="72"/>
  <c r="B61" i="72"/>
  <c r="B62" i="72"/>
  <c r="B63" i="72"/>
  <c r="B64" i="72"/>
  <c r="B65" i="72"/>
  <c r="B66" i="72"/>
  <c r="B67" i="72"/>
  <c r="B68" i="72"/>
  <c r="B69" i="72"/>
  <c r="B70" i="72"/>
  <c r="B71" i="72"/>
  <c r="B72" i="72"/>
  <c r="B73" i="72"/>
  <c r="B74" i="72"/>
  <c r="B75" i="72"/>
  <c r="B76" i="72"/>
  <c r="B77" i="72"/>
  <c r="B78" i="72"/>
  <c r="B79" i="72"/>
  <c r="B80" i="72"/>
  <c r="B81" i="72"/>
  <c r="B82" i="72"/>
  <c r="B83" i="72"/>
  <c r="B84" i="72"/>
  <c r="B85" i="72"/>
  <c r="B86" i="72"/>
  <c r="B87" i="72"/>
  <c r="B6" i="72"/>
  <c r="A7" i="72"/>
  <c r="C7" i="72"/>
  <c r="E7" i="72"/>
  <c r="F7" i="72"/>
  <c r="G7" i="72"/>
  <c r="H7" i="72"/>
  <c r="I7" i="72"/>
  <c r="J7" i="72"/>
  <c r="K7" i="72"/>
  <c r="L7" i="72"/>
  <c r="M7" i="72"/>
  <c r="O7" i="72"/>
  <c r="A8" i="72"/>
  <c r="C8" i="72"/>
  <c r="E8" i="72"/>
  <c r="F8" i="72"/>
  <c r="G8" i="72"/>
  <c r="H8" i="72"/>
  <c r="I8" i="72"/>
  <c r="J8" i="72"/>
  <c r="K8" i="72"/>
  <c r="L8" i="72"/>
  <c r="M8" i="72"/>
  <c r="O8" i="72"/>
  <c r="A9" i="72"/>
  <c r="C9" i="72"/>
  <c r="E9" i="72"/>
  <c r="F9" i="72"/>
  <c r="G9" i="72"/>
  <c r="H9" i="72"/>
  <c r="I9" i="72"/>
  <c r="J9" i="72"/>
  <c r="K9" i="72"/>
  <c r="L9" i="72"/>
  <c r="M9" i="72"/>
  <c r="O9" i="72"/>
  <c r="A10" i="72"/>
  <c r="C10" i="72"/>
  <c r="E10" i="72"/>
  <c r="F10" i="72"/>
  <c r="G10" i="72"/>
  <c r="H10" i="72"/>
  <c r="I10" i="72"/>
  <c r="J10" i="72"/>
  <c r="K10" i="72"/>
  <c r="L10" i="72"/>
  <c r="M10" i="72"/>
  <c r="O10" i="72"/>
  <c r="A11" i="72"/>
  <c r="C11" i="72"/>
  <c r="E11" i="72"/>
  <c r="F11" i="72"/>
  <c r="G11" i="72"/>
  <c r="H11" i="72"/>
  <c r="I11" i="72"/>
  <c r="J11" i="72"/>
  <c r="K11" i="72"/>
  <c r="L11" i="72"/>
  <c r="M11" i="72"/>
  <c r="O11" i="72"/>
  <c r="A12" i="72"/>
  <c r="C12" i="72"/>
  <c r="E12" i="72"/>
  <c r="F12" i="72"/>
  <c r="G12" i="72"/>
  <c r="H12" i="72"/>
  <c r="I12" i="72"/>
  <c r="J12" i="72"/>
  <c r="K12" i="72"/>
  <c r="L12" i="72"/>
  <c r="M12" i="72"/>
  <c r="O12" i="72"/>
  <c r="A13" i="72"/>
  <c r="C13" i="72"/>
  <c r="E13" i="72"/>
  <c r="G13" i="72"/>
  <c r="H13" i="72"/>
  <c r="I13" i="72"/>
  <c r="J13" i="72"/>
  <c r="K13" i="72"/>
  <c r="L13" i="72"/>
  <c r="M13" i="72"/>
  <c r="O13" i="72"/>
  <c r="A14" i="72"/>
  <c r="C14" i="72"/>
  <c r="E14" i="72"/>
  <c r="F14" i="72"/>
  <c r="G14" i="72"/>
  <c r="H14" i="72"/>
  <c r="I14" i="72"/>
  <c r="J14" i="72"/>
  <c r="K14" i="72"/>
  <c r="L14" i="72"/>
  <c r="M14" i="72"/>
  <c r="O14" i="72"/>
  <c r="A15" i="72"/>
  <c r="C15" i="72"/>
  <c r="E15" i="72"/>
  <c r="F15" i="72"/>
  <c r="G15" i="72"/>
  <c r="H15" i="72"/>
  <c r="I15" i="72"/>
  <c r="J15" i="72"/>
  <c r="K15" i="72"/>
  <c r="L15" i="72"/>
  <c r="M15" i="72"/>
  <c r="O15" i="72"/>
  <c r="A16" i="72"/>
  <c r="C16" i="72"/>
  <c r="E16" i="72"/>
  <c r="F16" i="72"/>
  <c r="G16" i="72"/>
  <c r="H16" i="72"/>
  <c r="I16" i="72"/>
  <c r="J16" i="72"/>
  <c r="K16" i="72"/>
  <c r="L16" i="72"/>
  <c r="M16" i="72"/>
  <c r="O16" i="72"/>
  <c r="A17" i="72"/>
  <c r="C17" i="72"/>
  <c r="E17" i="72"/>
  <c r="F17" i="72"/>
  <c r="G17" i="72"/>
  <c r="H17" i="72"/>
  <c r="I17" i="72"/>
  <c r="J17" i="72"/>
  <c r="K17" i="72"/>
  <c r="L17" i="72"/>
  <c r="M17" i="72"/>
  <c r="O17" i="72"/>
  <c r="A18" i="72"/>
  <c r="C18" i="72"/>
  <c r="E18" i="72"/>
  <c r="F18" i="72"/>
  <c r="G18" i="72"/>
  <c r="H18" i="72"/>
  <c r="I18" i="72"/>
  <c r="J18" i="72"/>
  <c r="K18" i="72"/>
  <c r="L18" i="72"/>
  <c r="M18" i="72"/>
  <c r="O18" i="72"/>
  <c r="A19" i="72"/>
  <c r="C19" i="72"/>
  <c r="E19" i="72"/>
  <c r="F19" i="72"/>
  <c r="G19" i="72"/>
  <c r="H19" i="72"/>
  <c r="I19" i="72"/>
  <c r="J19" i="72"/>
  <c r="K19" i="72"/>
  <c r="L19" i="72"/>
  <c r="M19" i="72"/>
  <c r="O19" i="72"/>
  <c r="A20" i="72"/>
  <c r="C20" i="72"/>
  <c r="E20" i="72"/>
  <c r="F20" i="72"/>
  <c r="G20" i="72"/>
  <c r="H20" i="72"/>
  <c r="I20" i="72"/>
  <c r="J20" i="72"/>
  <c r="K20" i="72"/>
  <c r="L20" i="72"/>
  <c r="M20" i="72"/>
  <c r="O20" i="72"/>
  <c r="A21" i="72"/>
  <c r="C21" i="72"/>
  <c r="E21" i="72"/>
  <c r="F21" i="72"/>
  <c r="G21" i="72"/>
  <c r="H21" i="72"/>
  <c r="I21" i="72"/>
  <c r="J21" i="72"/>
  <c r="K21" i="72"/>
  <c r="L21" i="72"/>
  <c r="M21" i="72"/>
  <c r="O21" i="72"/>
  <c r="A22" i="72"/>
  <c r="C22" i="72"/>
  <c r="E22" i="72"/>
  <c r="F22" i="72"/>
  <c r="G22" i="72"/>
  <c r="H22" i="72"/>
  <c r="I22" i="72"/>
  <c r="J22" i="72"/>
  <c r="K22" i="72"/>
  <c r="L22" i="72"/>
  <c r="M22" i="72"/>
  <c r="O22" i="72"/>
  <c r="A23" i="72"/>
  <c r="C23" i="72"/>
  <c r="E23" i="72"/>
  <c r="G23" i="72"/>
  <c r="I23" i="72"/>
  <c r="K23" i="72"/>
  <c r="L23" i="72"/>
  <c r="M23" i="72"/>
  <c r="O23" i="72"/>
  <c r="A24" i="72"/>
  <c r="C24" i="72"/>
  <c r="E24" i="72"/>
  <c r="G24" i="72"/>
  <c r="I24" i="72"/>
  <c r="K24" i="72"/>
  <c r="L24" i="72"/>
  <c r="M24" i="72"/>
  <c r="O24" i="72"/>
  <c r="A25" i="72"/>
  <c r="C25" i="72"/>
  <c r="E25" i="72"/>
  <c r="F25" i="72"/>
  <c r="G25" i="72"/>
  <c r="H25" i="72"/>
  <c r="I25" i="72"/>
  <c r="J25" i="72"/>
  <c r="K25" i="72"/>
  <c r="L25" i="72"/>
  <c r="M25" i="72"/>
  <c r="O25" i="72"/>
  <c r="A26" i="72"/>
  <c r="C26" i="72"/>
  <c r="E26" i="72"/>
  <c r="F26" i="72"/>
  <c r="G26" i="72"/>
  <c r="H26" i="72"/>
  <c r="I26" i="72"/>
  <c r="J26" i="72"/>
  <c r="K26" i="72"/>
  <c r="L26" i="72"/>
  <c r="M26" i="72"/>
  <c r="O26" i="72"/>
  <c r="A27" i="72"/>
  <c r="C27" i="72"/>
  <c r="E27" i="72"/>
  <c r="F27" i="72"/>
  <c r="G27" i="72"/>
  <c r="H27" i="72"/>
  <c r="I27" i="72"/>
  <c r="J27" i="72"/>
  <c r="K27" i="72"/>
  <c r="L27" i="72"/>
  <c r="M27" i="72"/>
  <c r="O27" i="72"/>
  <c r="A28" i="72"/>
  <c r="C28" i="72"/>
  <c r="E28" i="72"/>
  <c r="F28" i="72"/>
  <c r="G28" i="72"/>
  <c r="H28" i="72"/>
  <c r="I28" i="72"/>
  <c r="J28" i="72"/>
  <c r="K28" i="72"/>
  <c r="L28" i="72"/>
  <c r="M28" i="72"/>
  <c r="O28" i="72"/>
  <c r="A29" i="72"/>
  <c r="C29" i="72"/>
  <c r="E29" i="72"/>
  <c r="F29" i="72"/>
  <c r="G29" i="72"/>
  <c r="H29" i="72"/>
  <c r="I29" i="72"/>
  <c r="J29" i="72"/>
  <c r="K29" i="72"/>
  <c r="M29" i="72"/>
  <c r="O29" i="72"/>
  <c r="A30" i="72"/>
  <c r="C30" i="72"/>
  <c r="E30" i="72"/>
  <c r="F30" i="72"/>
  <c r="G30" i="72"/>
  <c r="H30" i="72"/>
  <c r="I30" i="72"/>
  <c r="J30" i="72"/>
  <c r="K30" i="72"/>
  <c r="L30" i="72"/>
  <c r="M30" i="72"/>
  <c r="O30" i="72"/>
  <c r="A31" i="72"/>
  <c r="C31" i="72"/>
  <c r="E31" i="72"/>
  <c r="F31" i="72"/>
  <c r="G31" i="72"/>
  <c r="H31" i="72"/>
  <c r="I31" i="72"/>
  <c r="J31" i="72"/>
  <c r="K31" i="72"/>
  <c r="L31" i="72"/>
  <c r="M31" i="72"/>
  <c r="O31" i="72"/>
  <c r="A32" i="72"/>
  <c r="C32" i="72"/>
  <c r="E32" i="72"/>
  <c r="F32" i="72"/>
  <c r="G32" i="72"/>
  <c r="H32" i="72"/>
  <c r="I32" i="72"/>
  <c r="J32" i="72"/>
  <c r="K32" i="72"/>
  <c r="M32" i="72"/>
  <c r="O32" i="72"/>
  <c r="A33" i="72"/>
  <c r="C33" i="72"/>
  <c r="E33" i="72"/>
  <c r="F33" i="72"/>
  <c r="G33" i="72"/>
  <c r="H33" i="72"/>
  <c r="I33" i="72"/>
  <c r="J33" i="72"/>
  <c r="K33" i="72"/>
  <c r="L33" i="72"/>
  <c r="M33" i="72"/>
  <c r="O33" i="72"/>
  <c r="A34" i="72"/>
  <c r="C34" i="72"/>
  <c r="E34" i="72"/>
  <c r="F34" i="72"/>
  <c r="G34" i="72"/>
  <c r="H34" i="72"/>
  <c r="I34" i="72"/>
  <c r="J34" i="72"/>
  <c r="K34" i="72"/>
  <c r="L34" i="72"/>
  <c r="M34" i="72"/>
  <c r="O34" i="72"/>
  <c r="A35" i="72"/>
  <c r="C35" i="72"/>
  <c r="E35" i="72"/>
  <c r="F35" i="72"/>
  <c r="G35" i="72"/>
  <c r="H35" i="72"/>
  <c r="I35" i="72"/>
  <c r="J35" i="72"/>
  <c r="K35" i="72"/>
  <c r="L35" i="72"/>
  <c r="M35" i="72"/>
  <c r="O35" i="72"/>
  <c r="A36" i="72"/>
  <c r="C36" i="72"/>
  <c r="E36" i="72"/>
  <c r="F36" i="72"/>
  <c r="G36" i="72"/>
  <c r="H36" i="72"/>
  <c r="I36" i="72"/>
  <c r="J36" i="72"/>
  <c r="K36" i="72"/>
  <c r="L36" i="72"/>
  <c r="M36" i="72"/>
  <c r="O36" i="72"/>
  <c r="A37" i="72"/>
  <c r="C37" i="72"/>
  <c r="E37" i="72"/>
  <c r="F37" i="72"/>
  <c r="G37" i="72"/>
  <c r="H37" i="72"/>
  <c r="I37" i="72"/>
  <c r="J37" i="72"/>
  <c r="K37" i="72"/>
  <c r="L37" i="72"/>
  <c r="M37" i="72"/>
  <c r="O37" i="72"/>
  <c r="A38" i="72"/>
  <c r="C38" i="72"/>
  <c r="E38" i="72"/>
  <c r="F38" i="72"/>
  <c r="G38" i="72"/>
  <c r="I38" i="72"/>
  <c r="J38" i="72"/>
  <c r="K38" i="72"/>
  <c r="M38" i="72"/>
  <c r="O38" i="72"/>
  <c r="A39" i="72"/>
  <c r="C39" i="72"/>
  <c r="E39" i="72"/>
  <c r="F39" i="72"/>
  <c r="G39" i="72"/>
  <c r="I39" i="72"/>
  <c r="J39" i="72"/>
  <c r="K39" i="72"/>
  <c r="M39" i="72"/>
  <c r="O39" i="72"/>
  <c r="A40" i="72"/>
  <c r="C40" i="72"/>
  <c r="E40" i="72"/>
  <c r="F40" i="72"/>
  <c r="G40" i="72"/>
  <c r="H40" i="72"/>
  <c r="I40" i="72"/>
  <c r="J40" i="72"/>
  <c r="K40" i="72"/>
  <c r="L40" i="72"/>
  <c r="M40" i="72"/>
  <c r="O40" i="72"/>
  <c r="A41" i="72"/>
  <c r="C41" i="72"/>
  <c r="E41" i="72"/>
  <c r="F41" i="72"/>
  <c r="G41" i="72"/>
  <c r="H41" i="72"/>
  <c r="I41" i="72"/>
  <c r="J41" i="72"/>
  <c r="K41" i="72"/>
  <c r="L41" i="72"/>
  <c r="M41" i="72"/>
  <c r="O41" i="72"/>
  <c r="A42" i="72"/>
  <c r="C42" i="72"/>
  <c r="E42" i="72"/>
  <c r="F42" i="72"/>
  <c r="G42" i="72"/>
  <c r="H42" i="72"/>
  <c r="I42" i="72"/>
  <c r="J42" i="72"/>
  <c r="K42" i="72"/>
  <c r="L42" i="72"/>
  <c r="M42" i="72"/>
  <c r="O42" i="72"/>
  <c r="A43" i="72"/>
  <c r="C43" i="72"/>
  <c r="E43" i="72"/>
  <c r="F43" i="72"/>
  <c r="G43" i="72"/>
  <c r="H43" i="72"/>
  <c r="I43" i="72"/>
  <c r="J43" i="72"/>
  <c r="K43" i="72"/>
  <c r="L43" i="72"/>
  <c r="M43" i="72"/>
  <c r="O43" i="72"/>
  <c r="A44" i="72"/>
  <c r="C44" i="72"/>
  <c r="E44" i="72"/>
  <c r="F44" i="72"/>
  <c r="G44" i="72"/>
  <c r="H44" i="72"/>
  <c r="I44" i="72"/>
  <c r="J44" i="72"/>
  <c r="K44" i="72"/>
  <c r="L44" i="72"/>
  <c r="M44" i="72"/>
  <c r="O44" i="72"/>
  <c r="A45" i="72"/>
  <c r="C45" i="72"/>
  <c r="E45" i="72"/>
  <c r="F45" i="72"/>
  <c r="G45" i="72"/>
  <c r="H45" i="72"/>
  <c r="I45" i="72"/>
  <c r="J45" i="72"/>
  <c r="K45" i="72"/>
  <c r="L45" i="72"/>
  <c r="M45" i="72"/>
  <c r="O45" i="72"/>
  <c r="A46" i="72"/>
  <c r="C46" i="72"/>
  <c r="E46" i="72"/>
  <c r="F46" i="72"/>
  <c r="G46" i="72"/>
  <c r="H46" i="72"/>
  <c r="I46" i="72"/>
  <c r="J46" i="72"/>
  <c r="K46" i="72"/>
  <c r="L46" i="72"/>
  <c r="M46" i="72"/>
  <c r="O46" i="72"/>
  <c r="A47" i="72"/>
  <c r="C47" i="72"/>
  <c r="E47" i="72"/>
  <c r="F47" i="72"/>
  <c r="G47" i="72"/>
  <c r="H47" i="72"/>
  <c r="I47" i="72"/>
  <c r="J47" i="72"/>
  <c r="K47" i="72"/>
  <c r="L47" i="72"/>
  <c r="M47" i="72"/>
  <c r="O47" i="72"/>
  <c r="A48" i="72"/>
  <c r="C48" i="72"/>
  <c r="E48" i="72"/>
  <c r="F48" i="72"/>
  <c r="G48" i="72"/>
  <c r="H48" i="72"/>
  <c r="I48" i="72"/>
  <c r="J48" i="72"/>
  <c r="K48" i="72"/>
  <c r="L48" i="72"/>
  <c r="M48" i="72"/>
  <c r="O48" i="72"/>
  <c r="A49" i="72"/>
  <c r="C49" i="72"/>
  <c r="E49" i="72"/>
  <c r="F49" i="72"/>
  <c r="G49" i="72"/>
  <c r="H49" i="72"/>
  <c r="I49" i="72"/>
  <c r="J49" i="72"/>
  <c r="K49" i="72"/>
  <c r="L49" i="72"/>
  <c r="M49" i="72"/>
  <c r="O49" i="72"/>
  <c r="A50" i="72"/>
  <c r="C50" i="72"/>
  <c r="E50" i="72"/>
  <c r="F50" i="72"/>
  <c r="G50" i="72"/>
  <c r="H50" i="72"/>
  <c r="I50" i="72"/>
  <c r="J50" i="72"/>
  <c r="K50" i="72"/>
  <c r="L50" i="72"/>
  <c r="M50" i="72"/>
  <c r="O50" i="72"/>
  <c r="A51" i="72"/>
  <c r="C51" i="72"/>
  <c r="E51" i="72"/>
  <c r="F51" i="72"/>
  <c r="G51" i="72"/>
  <c r="H51" i="72"/>
  <c r="I51" i="72"/>
  <c r="J51" i="72"/>
  <c r="K51" i="72"/>
  <c r="L51" i="72"/>
  <c r="M51" i="72"/>
  <c r="O51" i="72"/>
  <c r="A52" i="72"/>
  <c r="C52" i="72"/>
  <c r="E52" i="72"/>
  <c r="F52" i="72"/>
  <c r="G52" i="72"/>
  <c r="H52" i="72"/>
  <c r="I52" i="72"/>
  <c r="J52" i="72"/>
  <c r="K52" i="72"/>
  <c r="L52" i="72"/>
  <c r="M52" i="72"/>
  <c r="O52" i="72"/>
  <c r="A53" i="72"/>
  <c r="C53" i="72"/>
  <c r="E53" i="72"/>
  <c r="F53" i="72"/>
  <c r="G53" i="72"/>
  <c r="H53" i="72"/>
  <c r="I53" i="72"/>
  <c r="J53" i="72"/>
  <c r="K53" i="72"/>
  <c r="L53" i="72"/>
  <c r="M53" i="72"/>
  <c r="O53" i="72"/>
  <c r="A54" i="72"/>
  <c r="C54" i="72"/>
  <c r="E54" i="72"/>
  <c r="F54" i="72"/>
  <c r="G54" i="72"/>
  <c r="H54" i="72"/>
  <c r="I54" i="72"/>
  <c r="J54" i="72"/>
  <c r="K54" i="72"/>
  <c r="L54" i="72"/>
  <c r="M54" i="72"/>
  <c r="O54" i="72"/>
  <c r="A55" i="72"/>
  <c r="C55" i="72"/>
  <c r="E55" i="72"/>
  <c r="F55" i="72"/>
  <c r="G55" i="72"/>
  <c r="H55" i="72"/>
  <c r="I55" i="72"/>
  <c r="J55" i="72"/>
  <c r="K55" i="72"/>
  <c r="L55" i="72"/>
  <c r="M55" i="72"/>
  <c r="O55" i="72"/>
  <c r="A56" i="72"/>
  <c r="C56" i="72"/>
  <c r="E56" i="72"/>
  <c r="F56" i="72"/>
  <c r="G56" i="72"/>
  <c r="H56" i="72"/>
  <c r="I56" i="72"/>
  <c r="J56" i="72"/>
  <c r="K56" i="72"/>
  <c r="L56" i="72"/>
  <c r="M56" i="72"/>
  <c r="O56" i="72"/>
  <c r="A57" i="72"/>
  <c r="C57" i="72"/>
  <c r="E57" i="72"/>
  <c r="F57" i="72"/>
  <c r="G57" i="72"/>
  <c r="H57" i="72"/>
  <c r="I57" i="72"/>
  <c r="J57" i="72"/>
  <c r="K57" i="72"/>
  <c r="L57" i="72"/>
  <c r="M57" i="72"/>
  <c r="O57" i="72"/>
  <c r="A58" i="72"/>
  <c r="C58" i="72"/>
  <c r="E58" i="72"/>
  <c r="F58" i="72"/>
  <c r="G58" i="72"/>
  <c r="H58" i="72"/>
  <c r="I58" i="72"/>
  <c r="J58" i="72"/>
  <c r="K58" i="72"/>
  <c r="L58" i="72"/>
  <c r="M58" i="72"/>
  <c r="O58" i="72"/>
  <c r="A59" i="72"/>
  <c r="C59" i="72"/>
  <c r="E59" i="72"/>
  <c r="F59" i="72"/>
  <c r="G59" i="72"/>
  <c r="H59" i="72"/>
  <c r="I59" i="72"/>
  <c r="J59" i="72"/>
  <c r="K59" i="72"/>
  <c r="L59" i="72"/>
  <c r="M59" i="72"/>
  <c r="O59" i="72"/>
  <c r="A60" i="72"/>
  <c r="C60" i="72"/>
  <c r="E60" i="72"/>
  <c r="F60" i="72"/>
  <c r="G60" i="72"/>
  <c r="H60" i="72"/>
  <c r="I60" i="72"/>
  <c r="J60" i="72"/>
  <c r="K60" i="72"/>
  <c r="L60" i="72"/>
  <c r="M60" i="72"/>
  <c r="O60" i="72"/>
  <c r="A61" i="72"/>
  <c r="C61" i="72"/>
  <c r="E61" i="72"/>
  <c r="F61" i="72"/>
  <c r="G61" i="72"/>
  <c r="H61" i="72"/>
  <c r="I61" i="72"/>
  <c r="J61" i="72"/>
  <c r="K61" i="72"/>
  <c r="L61" i="72"/>
  <c r="M61" i="72"/>
  <c r="O61" i="72"/>
  <c r="A62" i="72"/>
  <c r="C62" i="72"/>
  <c r="E62" i="72"/>
  <c r="F62" i="72"/>
  <c r="G62" i="72"/>
  <c r="H62" i="72"/>
  <c r="I62" i="72"/>
  <c r="J62" i="72"/>
  <c r="K62" i="72"/>
  <c r="L62" i="72"/>
  <c r="M62" i="72"/>
  <c r="O62" i="72"/>
  <c r="A63" i="72"/>
  <c r="C63" i="72"/>
  <c r="E63" i="72"/>
  <c r="F63" i="72"/>
  <c r="G63" i="72"/>
  <c r="H63" i="72"/>
  <c r="I63" i="72"/>
  <c r="J63" i="72"/>
  <c r="K63" i="72"/>
  <c r="L63" i="72"/>
  <c r="M63" i="72"/>
  <c r="O63" i="72"/>
  <c r="A64" i="72"/>
  <c r="C64" i="72"/>
  <c r="E64" i="72"/>
  <c r="F64" i="72"/>
  <c r="G64" i="72"/>
  <c r="H64" i="72"/>
  <c r="I64" i="72"/>
  <c r="J64" i="72"/>
  <c r="K64" i="72"/>
  <c r="L64" i="72"/>
  <c r="M64" i="72"/>
  <c r="O64" i="72"/>
  <c r="A65" i="72"/>
  <c r="C65" i="72"/>
  <c r="E65" i="72"/>
  <c r="F65" i="72"/>
  <c r="G65" i="72"/>
  <c r="H65" i="72"/>
  <c r="I65" i="72"/>
  <c r="J65" i="72"/>
  <c r="K65" i="72"/>
  <c r="L65" i="72"/>
  <c r="M65" i="72"/>
  <c r="O65" i="72"/>
  <c r="A66" i="72"/>
  <c r="C66" i="72"/>
  <c r="E66" i="72"/>
  <c r="F66" i="72"/>
  <c r="G66" i="72"/>
  <c r="H66" i="72"/>
  <c r="I66" i="72"/>
  <c r="J66" i="72"/>
  <c r="K66" i="72"/>
  <c r="L66" i="72"/>
  <c r="M66" i="72"/>
  <c r="O66" i="72"/>
  <c r="A67" i="72"/>
  <c r="C67" i="72"/>
  <c r="E67" i="72"/>
  <c r="F67" i="72"/>
  <c r="G67" i="72"/>
  <c r="H67" i="72"/>
  <c r="I67" i="72"/>
  <c r="J67" i="72"/>
  <c r="K67" i="72"/>
  <c r="L67" i="72"/>
  <c r="M67" i="72"/>
  <c r="O67" i="72"/>
  <c r="A68" i="72"/>
  <c r="C68" i="72"/>
  <c r="E68" i="72"/>
  <c r="F68" i="72"/>
  <c r="G68" i="72"/>
  <c r="H68" i="72"/>
  <c r="I68" i="72"/>
  <c r="J68" i="72"/>
  <c r="K68" i="72"/>
  <c r="L68" i="72"/>
  <c r="M68" i="72"/>
  <c r="O68" i="72"/>
  <c r="A69" i="72"/>
  <c r="C69" i="72"/>
  <c r="E69" i="72"/>
  <c r="F69" i="72"/>
  <c r="G69" i="72"/>
  <c r="H69" i="72"/>
  <c r="I69" i="72"/>
  <c r="J69" i="72"/>
  <c r="K69" i="72"/>
  <c r="L69" i="72"/>
  <c r="M69" i="72"/>
  <c r="O69" i="72"/>
  <c r="A70" i="72"/>
  <c r="C70" i="72"/>
  <c r="E70" i="72"/>
  <c r="F70" i="72"/>
  <c r="G70" i="72"/>
  <c r="H70" i="72"/>
  <c r="I70" i="72"/>
  <c r="J70" i="72"/>
  <c r="K70" i="72"/>
  <c r="L70" i="72"/>
  <c r="M70" i="72"/>
  <c r="O70" i="72"/>
  <c r="A71" i="72"/>
  <c r="C71" i="72"/>
  <c r="E71" i="72"/>
  <c r="F71" i="72"/>
  <c r="G71" i="72"/>
  <c r="H71" i="72"/>
  <c r="I71" i="72"/>
  <c r="J71" i="72"/>
  <c r="K71" i="72"/>
  <c r="L71" i="72"/>
  <c r="M71" i="72"/>
  <c r="O71" i="72"/>
  <c r="A72" i="72"/>
  <c r="C72" i="72"/>
  <c r="E72" i="72"/>
  <c r="F72" i="72"/>
  <c r="G72" i="72"/>
  <c r="H72" i="72"/>
  <c r="I72" i="72"/>
  <c r="J72" i="72"/>
  <c r="K72" i="72"/>
  <c r="L72" i="72"/>
  <c r="M72" i="72"/>
  <c r="O72" i="72"/>
  <c r="A73" i="72"/>
  <c r="C73" i="72"/>
  <c r="E73" i="72"/>
  <c r="F73" i="72"/>
  <c r="G73" i="72"/>
  <c r="H73" i="72"/>
  <c r="I73" i="72"/>
  <c r="J73" i="72"/>
  <c r="K73" i="72"/>
  <c r="L73" i="72"/>
  <c r="M73" i="72"/>
  <c r="O73" i="72"/>
  <c r="A74" i="72"/>
  <c r="C74" i="72"/>
  <c r="E74" i="72"/>
  <c r="F74" i="72"/>
  <c r="G74" i="72"/>
  <c r="H74" i="72"/>
  <c r="I74" i="72"/>
  <c r="J74" i="72"/>
  <c r="K74" i="72"/>
  <c r="L74" i="72"/>
  <c r="M74" i="72"/>
  <c r="O74" i="72"/>
  <c r="A75" i="72"/>
  <c r="C75" i="72"/>
  <c r="E75" i="72"/>
  <c r="F75" i="72"/>
  <c r="G75" i="72"/>
  <c r="H75" i="72"/>
  <c r="I75" i="72"/>
  <c r="J75" i="72"/>
  <c r="K75" i="72"/>
  <c r="L75" i="72"/>
  <c r="M75" i="72"/>
  <c r="O75" i="72"/>
  <c r="A76" i="72"/>
  <c r="C76" i="72"/>
  <c r="E76" i="72"/>
  <c r="F76" i="72"/>
  <c r="G76" i="72"/>
  <c r="H76" i="72"/>
  <c r="I76" i="72"/>
  <c r="J76" i="72"/>
  <c r="K76" i="72"/>
  <c r="L76" i="72"/>
  <c r="M76" i="72"/>
  <c r="O76" i="72"/>
  <c r="A77" i="72"/>
  <c r="C77" i="72"/>
  <c r="E77" i="72"/>
  <c r="F77" i="72"/>
  <c r="G77" i="72"/>
  <c r="H77" i="72"/>
  <c r="I77" i="72"/>
  <c r="J77" i="72"/>
  <c r="K77" i="72"/>
  <c r="L77" i="72"/>
  <c r="M77" i="72"/>
  <c r="O77" i="72"/>
  <c r="A78" i="72"/>
  <c r="C78" i="72"/>
  <c r="E78" i="72"/>
  <c r="F78" i="72"/>
  <c r="G78" i="72"/>
  <c r="H78" i="72"/>
  <c r="I78" i="72"/>
  <c r="J78" i="72"/>
  <c r="K78" i="72"/>
  <c r="L78" i="72"/>
  <c r="M78" i="72"/>
  <c r="O78" i="72"/>
  <c r="A79" i="72"/>
  <c r="C79" i="72"/>
  <c r="E79" i="72"/>
  <c r="F79" i="72"/>
  <c r="G79" i="72"/>
  <c r="H79" i="72"/>
  <c r="I79" i="72"/>
  <c r="J79" i="72"/>
  <c r="K79" i="72"/>
  <c r="L79" i="72"/>
  <c r="M79" i="72"/>
  <c r="O79" i="72"/>
  <c r="A80" i="72"/>
  <c r="C80" i="72"/>
  <c r="E80" i="72"/>
  <c r="F80" i="72"/>
  <c r="G80" i="72"/>
  <c r="H80" i="72"/>
  <c r="I80" i="72"/>
  <c r="J80" i="72"/>
  <c r="K80" i="72"/>
  <c r="L80" i="72"/>
  <c r="M80" i="72"/>
  <c r="O80" i="72"/>
  <c r="A81" i="72"/>
  <c r="C81" i="72"/>
  <c r="E81" i="72"/>
  <c r="F81" i="72"/>
  <c r="G81" i="72"/>
  <c r="H81" i="72"/>
  <c r="I81" i="72"/>
  <c r="J81" i="72"/>
  <c r="K81" i="72"/>
  <c r="L81" i="72"/>
  <c r="M81" i="72"/>
  <c r="O81" i="72"/>
  <c r="A82" i="72"/>
  <c r="C82" i="72"/>
  <c r="E82" i="72"/>
  <c r="F82" i="72"/>
  <c r="G82" i="72"/>
  <c r="H82" i="72"/>
  <c r="I82" i="72"/>
  <c r="J82" i="72"/>
  <c r="K82" i="72"/>
  <c r="L82" i="72"/>
  <c r="M82" i="72"/>
  <c r="O82" i="72"/>
  <c r="A83" i="72"/>
  <c r="C83" i="72"/>
  <c r="E83" i="72"/>
  <c r="F83" i="72"/>
  <c r="G83" i="72"/>
  <c r="H83" i="72"/>
  <c r="I83" i="72"/>
  <c r="J83" i="72"/>
  <c r="K83" i="72"/>
  <c r="L83" i="72"/>
  <c r="M83" i="72"/>
  <c r="O83" i="72"/>
  <c r="A84" i="72"/>
  <c r="C84" i="72"/>
  <c r="E84" i="72"/>
  <c r="F84" i="72"/>
  <c r="G84" i="72"/>
  <c r="H84" i="72"/>
  <c r="I84" i="72"/>
  <c r="J84" i="72"/>
  <c r="K84" i="72"/>
  <c r="L84" i="72"/>
  <c r="M84" i="72"/>
  <c r="O84" i="72"/>
  <c r="A85" i="72"/>
  <c r="C85" i="72"/>
  <c r="E85" i="72"/>
  <c r="F85" i="72"/>
  <c r="G85" i="72"/>
  <c r="H85" i="72"/>
  <c r="I85" i="72"/>
  <c r="J85" i="72"/>
  <c r="K85" i="72"/>
  <c r="L85" i="72"/>
  <c r="M85" i="72"/>
  <c r="O85" i="72"/>
  <c r="A86" i="72"/>
  <c r="C86" i="72"/>
  <c r="E86" i="72"/>
  <c r="F86" i="72"/>
  <c r="G86" i="72"/>
  <c r="H86" i="72"/>
  <c r="I86" i="72"/>
  <c r="J86" i="72"/>
  <c r="K86" i="72"/>
  <c r="L86" i="72"/>
  <c r="M86" i="72"/>
  <c r="O86" i="72"/>
  <c r="A87" i="72"/>
  <c r="C87" i="72"/>
  <c r="E87" i="72"/>
  <c r="F87" i="72"/>
  <c r="G87" i="72"/>
  <c r="H87" i="72"/>
  <c r="I87" i="72"/>
  <c r="J87" i="72"/>
  <c r="K87" i="72"/>
  <c r="L87" i="72"/>
  <c r="M87" i="72"/>
  <c r="O87" i="72"/>
  <c r="D6" i="72" l="1"/>
  <c r="O6" i="72" l="1"/>
  <c r="M6" i="72"/>
  <c r="L6" i="72"/>
  <c r="K6" i="72"/>
  <c r="I6" i="72"/>
  <c r="H6" i="72"/>
  <c r="G6" i="72"/>
  <c r="F6" i="72"/>
  <c r="E6" i="72"/>
  <c r="C6" i="72"/>
  <c r="A6" i="72"/>
  <c r="A2" i="72"/>
  <c r="J6" i="72" l="1"/>
</calcChain>
</file>

<file path=xl/sharedStrings.xml><?xml version="1.0" encoding="utf-8"?>
<sst xmlns="http://schemas.openxmlformats.org/spreadsheetml/2006/main" count="121" uniqueCount="90">
  <si>
    <t xml:space="preserve">Наименование субъекта  Российской федерации </t>
  </si>
  <si>
    <t>Валовой сбор, тыс.т</t>
  </si>
  <si>
    <t>2 класс</t>
  </si>
  <si>
    <t>3 класс</t>
  </si>
  <si>
    <t xml:space="preserve">4 класс </t>
  </si>
  <si>
    <t>5 класс</t>
  </si>
  <si>
    <t>несоответствующая ГОСТ</t>
  </si>
  <si>
    <t>тыс.т</t>
  </si>
  <si>
    <t>% от обслед.</t>
  </si>
  <si>
    <t>Всего</t>
  </si>
  <si>
    <t>Южный фед. округ</t>
  </si>
  <si>
    <t>Ростовская область</t>
  </si>
  <si>
    <t>Северо-Кавказский фед. округ</t>
  </si>
  <si>
    <t>Ставропольский край</t>
  </si>
  <si>
    <t>1 класс</t>
  </si>
  <si>
    <t xml:space="preserve">ИТОГО
1-4 класс </t>
  </si>
  <si>
    <r>
      <rPr>
        <sz val="16"/>
        <color indexed="8"/>
        <rFont val="Times New Roman"/>
        <family val="1"/>
        <charset val="204"/>
      </rPr>
      <t xml:space="preserve">Отчет по изучению качества </t>
    </r>
    <r>
      <rPr>
        <b/>
        <sz val="16"/>
        <color indexed="8"/>
        <rFont val="Times New Roman"/>
        <family val="1"/>
        <charset val="204"/>
      </rPr>
      <t>мягкой</t>
    </r>
    <r>
      <rPr>
        <sz val="16"/>
        <color indexed="8"/>
        <rFont val="Times New Roman"/>
        <family val="1"/>
        <charset val="204"/>
      </rPr>
      <t xml:space="preserve"> </t>
    </r>
    <r>
      <rPr>
        <b/>
        <sz val="16"/>
        <color indexed="8"/>
        <rFont val="Times New Roman"/>
        <family val="1"/>
        <charset val="204"/>
      </rPr>
      <t>пшеницы</t>
    </r>
    <r>
      <rPr>
        <sz val="16"/>
        <color indexed="8"/>
        <rFont val="Times New Roman"/>
        <family val="1"/>
        <charset val="204"/>
      </rPr>
      <t xml:space="preserve"> нового урожая 2022 года</t>
    </r>
  </si>
  <si>
    <t>Краснодарский край</t>
  </si>
  <si>
    <r>
      <rPr>
        <sz val="11"/>
        <color indexed="8"/>
        <rFont val="Calibri"/>
        <family val="2"/>
        <charset val="204"/>
      </rPr>
      <t>∆</t>
    </r>
    <r>
      <rPr>
        <sz val="11"/>
        <color indexed="8"/>
        <rFont val="Times New Roman"/>
        <family val="1"/>
        <charset val="204"/>
      </rPr>
      <t xml:space="preserve"> к 2021</t>
    </r>
  </si>
  <si>
    <t>доля, %</t>
  </si>
  <si>
    <t xml:space="preserve">Наименование субъекта  Российской Федерации </t>
  </si>
  <si>
    <t>Республика Адыгея</t>
  </si>
  <si>
    <t>Республика Калмыкия</t>
  </si>
  <si>
    <r>
      <t xml:space="preserve">Отчет по изучению качества </t>
    </r>
    <r>
      <rPr>
        <b/>
        <sz val="14"/>
        <color rgb="FF000000"/>
        <rFont val="Times New Roman"/>
        <family val="1"/>
        <charset val="204"/>
      </rPr>
      <t>МЯГКОЙ ПШЕНИЦЫ</t>
    </r>
    <r>
      <rPr>
        <sz val="14"/>
        <color indexed="8"/>
        <rFont val="Times New Roman"/>
        <family val="1"/>
        <charset val="204"/>
      </rPr>
      <t xml:space="preserve"> нового урожая 2026 года</t>
    </r>
  </si>
  <si>
    <t>Волгоградская область</t>
  </si>
  <si>
    <t>Приволжский фед. округ</t>
  </si>
  <si>
    <t>Оренбургская область</t>
  </si>
  <si>
    <t>Республика Ингушетия</t>
  </si>
  <si>
    <t>Кабардино-Балкарская Республика</t>
  </si>
  <si>
    <t>Центральный фед. округ</t>
  </si>
  <si>
    <t>Астраханская область</t>
  </si>
  <si>
    <t>Чеченская Республика</t>
  </si>
  <si>
    <t>Республика Дагестан</t>
  </si>
  <si>
    <t>Белгородская область</t>
  </si>
  <si>
    <t>Брянская область</t>
  </si>
  <si>
    <t>Республика Крым</t>
  </si>
  <si>
    <t>Самарская область</t>
  </si>
  <si>
    <t>Ульяновская область</t>
  </si>
  <si>
    <t>Республика Татарстан</t>
  </si>
  <si>
    <t>Республика Башкортостан</t>
  </si>
  <si>
    <t>Республика Северная Осетия - Алания</t>
  </si>
  <si>
    <t>Воронежская область</t>
  </si>
  <si>
    <t>Тамбовская область</t>
  </si>
  <si>
    <t>Сибирский фед. округ</t>
  </si>
  <si>
    <t>Омская область</t>
  </si>
  <si>
    <t>Алтайский край</t>
  </si>
  <si>
    <t>Нижегородская область</t>
  </si>
  <si>
    <t>Карачаево-Черкесская Республика</t>
  </si>
  <si>
    <t>Курская область</t>
  </si>
  <si>
    <t>Липецкая область</t>
  </si>
  <si>
    <t>Рязанская область</t>
  </si>
  <si>
    <t>Московская область</t>
  </si>
  <si>
    <t>Калужская область</t>
  </si>
  <si>
    <t>Тульская область</t>
  </si>
  <si>
    <t>Орловская область</t>
  </si>
  <si>
    <t>Новосибирская область</t>
  </si>
  <si>
    <t>Северо-Западный фед. округ</t>
  </si>
  <si>
    <t>Псковская область</t>
  </si>
  <si>
    <t>Пензенская область</t>
  </si>
  <si>
    <t>Чувашская Республика</t>
  </si>
  <si>
    <t>Республика Мордовия</t>
  </si>
  <si>
    <t>Смоленская область</t>
  </si>
  <si>
    <t>Уральский фед. округ</t>
  </si>
  <si>
    <t>Челябинская область</t>
  </si>
  <si>
    <t>Ленинградская область</t>
  </si>
  <si>
    <t>Республика Марий Эл</t>
  </si>
  <si>
    <t>Тверская область</t>
  </si>
  <si>
    <t>Томская область</t>
  </si>
  <si>
    <t>Красноярский край</t>
  </si>
  <si>
    <t>Калининградская область</t>
  </si>
  <si>
    <t>Новгородская область</t>
  </si>
  <si>
    <t>Дальневосточный фед. округ</t>
  </si>
  <si>
    <t>Приморский край</t>
  </si>
  <si>
    <t>Пермский край</t>
  </si>
  <si>
    <t>Свердловская область</t>
  </si>
  <si>
    <t>Вологодская область</t>
  </si>
  <si>
    <t>Амурская область</t>
  </si>
  <si>
    <t>г. Севастополь</t>
  </si>
  <si>
    <t>Ивановская область</t>
  </si>
  <si>
    <t>Владимирская область</t>
  </si>
  <si>
    <t>Костромская область</t>
  </si>
  <si>
    <t>Ярославская область</t>
  </si>
  <si>
    <t>Курганская область</t>
  </si>
  <si>
    <t>Тюменская область</t>
  </si>
  <si>
    <t>Республика Хакасия</t>
  </si>
  <si>
    <t>Кемеровская область - Кузбасс</t>
  </si>
  <si>
    <t>Хабаровский край</t>
  </si>
  <si>
    <t>Еврейская автономная область</t>
  </si>
  <si>
    <t>Республика Тыва</t>
  </si>
  <si>
    <t>по состоянию на 28 сентября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</si>
</sst>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₽_-;\-* #,##0.00\ _₽_-;_-* &quot;-&quot;??\ _₽_-;_-@_-"/>
    <numFmt numFmtId="164" formatCode="#,##0.0"/>
    <numFmt numFmtId="165" formatCode="0.0"/>
    <numFmt numFmtId="168" formatCode="#,##0.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indexed="8"/>
      <name val="Times New Roman"/>
      <family val="2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9C11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1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</cellStyleXfs>
  <cellXfs count="47">
    <xf numFmtId="0" fontId="0" fillId="0" borderId="0" xfId="0"/>
    <xf numFmtId="0" fontId="12" fillId="0" borderId="0" xfId="8" applyFont="1" applyFill="1" applyBorder="1"/>
    <xf numFmtId="0" fontId="17" fillId="0" borderId="0" xfId="8" applyFont="1" applyFill="1"/>
    <xf numFmtId="0" fontId="18" fillId="0" borderId="0" xfId="8" applyFont="1" applyFill="1"/>
    <xf numFmtId="0" fontId="17" fillId="0" borderId="0" xfId="0" applyFont="1" applyFill="1"/>
    <xf numFmtId="165" fontId="17" fillId="0" borderId="0" xfId="8" applyNumberFormat="1" applyFont="1" applyFill="1"/>
    <xf numFmtId="164" fontId="17" fillId="0" borderId="0" xfId="8" applyNumberFormat="1" applyFont="1" applyFill="1"/>
    <xf numFmtId="0" fontId="16" fillId="0" borderId="0" xfId="8" applyFont="1" applyFill="1"/>
    <xf numFmtId="164" fontId="15" fillId="2" borderId="1" xfId="9" applyNumberFormat="1" applyFont="1" applyFill="1" applyBorder="1" applyAlignment="1">
      <alignment horizontal="center" vertical="center"/>
    </xf>
    <xf numFmtId="164" fontId="15" fillId="2" borderId="1" xfId="7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164" fontId="15" fillId="3" borderId="1" xfId="7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164" fontId="15" fillId="3" borderId="1" xfId="9" applyNumberFormat="1" applyFont="1" applyFill="1" applyBorder="1" applyAlignment="1">
      <alignment horizontal="center" vertical="center"/>
    </xf>
    <xf numFmtId="0" fontId="19" fillId="0" borderId="1" xfId="11" applyFont="1" applyFill="1" applyBorder="1" applyAlignment="1">
      <alignment horizontal="center" vertical="center" wrapText="1"/>
    </xf>
    <xf numFmtId="0" fontId="11" fillId="0" borderId="1" xfId="11" applyFont="1" applyFill="1" applyBorder="1" applyAlignment="1">
      <alignment horizontal="center" vertical="center" wrapText="1"/>
    </xf>
    <xf numFmtId="164" fontId="16" fillId="2" borderId="1" xfId="7" applyNumberFormat="1" applyFont="1" applyFill="1" applyBorder="1" applyAlignment="1">
      <alignment horizontal="center" vertical="center"/>
    </xf>
    <xf numFmtId="164" fontId="16" fillId="2" borderId="1" xfId="9" applyNumberFormat="1" applyFont="1" applyFill="1" applyBorder="1" applyAlignment="1">
      <alignment horizontal="center" vertical="center"/>
    </xf>
    <xf numFmtId="4" fontId="16" fillId="2" borderId="1" xfId="9" applyNumberFormat="1" applyFont="1" applyFill="1" applyBorder="1" applyAlignment="1">
      <alignment horizontal="center" vertical="center"/>
    </xf>
    <xf numFmtId="0" fontId="22" fillId="0" borderId="0" xfId="8" applyFont="1" applyFill="1"/>
    <xf numFmtId="0" fontId="23" fillId="0" borderId="0" xfId="8" applyFont="1" applyFill="1"/>
    <xf numFmtId="0" fontId="14" fillId="0" borderId="0" xfId="8" applyFont="1" applyFill="1" applyBorder="1"/>
    <xf numFmtId="164" fontId="14" fillId="0" borderId="1" xfId="18" applyNumberFormat="1" applyFont="1" applyFill="1" applyBorder="1" applyAlignment="1">
      <alignment horizontal="center" vertical="center" wrapText="1"/>
    </xf>
    <xf numFmtId="0" fontId="14" fillId="0" borderId="1" xfId="18" applyFont="1" applyFill="1" applyBorder="1" applyAlignment="1">
      <alignment horizontal="center" vertical="center" wrapText="1"/>
    </xf>
    <xf numFmtId="164" fontId="24" fillId="4" borderId="1" xfId="18" applyNumberFormat="1" applyFont="1" applyFill="1" applyBorder="1" applyAlignment="1">
      <alignment horizontal="center" vertical="center" wrapText="1"/>
    </xf>
    <xf numFmtId="168" fontId="24" fillId="4" borderId="1" xfId="18" applyNumberFormat="1" applyFont="1" applyFill="1" applyBorder="1" applyAlignment="1">
      <alignment horizontal="center" vertical="center" wrapText="1"/>
    </xf>
    <xf numFmtId="4" fontId="24" fillId="4" borderId="1" xfId="18" applyNumberFormat="1" applyFont="1" applyFill="1" applyBorder="1" applyAlignment="1">
      <alignment horizontal="center" vertical="center" wrapText="1"/>
    </xf>
    <xf numFmtId="164" fontId="24" fillId="4" borderId="1" xfId="6" applyNumberFormat="1" applyFont="1" applyFill="1" applyBorder="1" applyAlignment="1">
      <alignment horizontal="center" vertical="center"/>
    </xf>
    <xf numFmtId="164" fontId="26" fillId="0" borderId="1" xfId="13" applyNumberFormat="1" applyFont="1" applyFill="1" applyBorder="1" applyAlignment="1">
      <alignment horizontal="center" vertical="center"/>
    </xf>
    <xf numFmtId="164" fontId="26" fillId="0" borderId="1" xfId="6" applyNumberFormat="1" applyFont="1" applyFill="1" applyBorder="1" applyAlignment="1">
      <alignment horizontal="center" vertical="center"/>
    </xf>
    <xf numFmtId="0" fontId="14" fillId="0" borderId="0" xfId="8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64" fontId="17" fillId="0" borderId="0" xfId="8" applyNumberFormat="1" applyFont="1" applyFill="1" applyAlignment="1">
      <alignment horizontal="center" vertical="center"/>
    </xf>
    <xf numFmtId="0" fontId="17" fillId="0" borderId="0" xfId="8" applyFont="1" applyFill="1" applyAlignment="1">
      <alignment horizontal="center" vertical="center"/>
    </xf>
    <xf numFmtId="0" fontId="14" fillId="0" borderId="0" xfId="10" applyFont="1" applyFill="1" applyBorder="1" applyAlignment="1">
      <alignment horizontal="center" vertical="center"/>
    </xf>
    <xf numFmtId="0" fontId="14" fillId="0" borderId="1" xfId="18" applyFont="1" applyFill="1" applyBorder="1" applyAlignment="1">
      <alignment horizontal="center" vertical="center" wrapText="1"/>
    </xf>
    <xf numFmtId="164" fontId="14" fillId="0" borderId="1" xfId="18" applyNumberFormat="1" applyFont="1" applyFill="1" applyBorder="1" applyAlignment="1">
      <alignment horizontal="center" vertical="center" wrapText="1"/>
    </xf>
    <xf numFmtId="0" fontId="14" fillId="0" borderId="2" xfId="18" applyFont="1" applyFill="1" applyBorder="1" applyAlignment="1">
      <alignment horizontal="center" vertical="center" wrapText="1"/>
    </xf>
    <xf numFmtId="0" fontId="14" fillId="0" borderId="3" xfId="18" applyFont="1" applyFill="1" applyBorder="1" applyAlignment="1">
      <alignment horizontal="center" vertical="center" wrapText="1"/>
    </xf>
    <xf numFmtId="0" fontId="15" fillId="0" borderId="0" xfId="10" applyFont="1" applyFill="1" applyBorder="1" applyAlignment="1">
      <alignment horizontal="center" vertical="center"/>
    </xf>
    <xf numFmtId="0" fontId="13" fillId="0" borderId="0" xfId="10" applyFont="1" applyFill="1" applyBorder="1" applyAlignment="1">
      <alignment horizontal="center" vertical="center"/>
    </xf>
    <xf numFmtId="0" fontId="11" fillId="0" borderId="1" xfId="5" applyFont="1" applyFill="1" applyBorder="1" applyAlignment="1">
      <alignment horizontal="center" vertical="center" wrapText="1"/>
    </xf>
    <xf numFmtId="0" fontId="11" fillId="0" borderId="2" xfId="5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28" fillId="0" borderId="2" xfId="13" applyFont="1" applyFill="1" applyBorder="1" applyAlignment="1">
      <alignment vertical="center"/>
    </xf>
    <xf numFmtId="0" fontId="27" fillId="4" borderId="2" xfId="18" applyFont="1" applyFill="1" applyBorder="1" applyAlignment="1">
      <alignment vertical="center"/>
    </xf>
  </cellXfs>
  <cellStyles count="19">
    <cellStyle name="Обычный" xfId="0" builtinId="0"/>
    <cellStyle name="Обычный 2" xfId="17" xr:uid="{00000000-0005-0000-0000-000001000000}"/>
    <cellStyle name="Обычный 3" xfId="1" xr:uid="{00000000-0005-0000-0000-000002000000}"/>
    <cellStyle name="Обычный 3 2" xfId="4" xr:uid="{00000000-0005-0000-0000-000003000000}"/>
    <cellStyle name="Обычный 3 2 2" xfId="10" xr:uid="{00000000-0005-0000-0000-000004000000}"/>
    <cellStyle name="Обычный 3 2 2 2" xfId="12" xr:uid="{00000000-0005-0000-0000-000005000000}"/>
    <cellStyle name="Обычный 3 3" xfId="5" xr:uid="{00000000-0005-0000-0000-000006000000}"/>
    <cellStyle name="Обычный 3 3 2" xfId="8" xr:uid="{00000000-0005-0000-0000-000007000000}"/>
    <cellStyle name="Обычный 3 3 6 2" xfId="18" xr:uid="{00000000-0005-0000-0000-000008000000}"/>
    <cellStyle name="Обычный 3 4" xfId="11" xr:uid="{00000000-0005-0000-0000-000009000000}"/>
    <cellStyle name="Обычный 6" xfId="14" xr:uid="{00000000-0005-0000-0000-00000A000000}"/>
    <cellStyle name="Обычный 6 2" xfId="15" xr:uid="{00000000-0005-0000-0000-00000B000000}"/>
    <cellStyle name="Обычный 8" xfId="13" xr:uid="{00000000-0005-0000-0000-00000C000000}"/>
    <cellStyle name="Процентный 2" xfId="3" xr:uid="{00000000-0005-0000-0000-00000E000000}"/>
    <cellStyle name="Процентный 6" xfId="16" xr:uid="{00000000-0005-0000-0000-00000F000000}"/>
    <cellStyle name="Финансовый 2" xfId="2" xr:uid="{00000000-0005-0000-0000-000010000000}"/>
    <cellStyle name="Финансовый 2 2" xfId="6" xr:uid="{00000000-0005-0000-0000-000011000000}"/>
    <cellStyle name="Финансовый 2 2 2" xfId="9" xr:uid="{00000000-0005-0000-0000-000012000000}"/>
    <cellStyle name="Финансовый 2 3" xfId="7" xr:uid="{00000000-0005-0000-0000-000013000000}"/>
  </cellStyles>
  <dxfs count="18"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</dxfs>
  <tableStyles count="0" defaultTableStyle="TableStyleMedium2" defaultPivotStyle="PivotStyleLight16"/>
  <colors>
    <mruColors>
      <color rgb="FFF6991C"/>
      <color rgb="FFFBD66D"/>
      <color rgb="FFB9C115"/>
      <color rgb="FFF09570"/>
      <color rgb="FFCC4A16"/>
      <color rgb="FF7B8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0</xdr:row>
          <xdr:rowOff>209550</xdr:rowOff>
        </xdr:from>
        <xdr:to>
          <xdr:col>18</xdr:col>
          <xdr:colOff>440532</xdr:colOff>
          <xdr:row>3</xdr:row>
          <xdr:rowOff>123825</xdr:rowOff>
        </xdr:to>
        <xdr:sp macro="" textlink="">
          <xdr:nvSpPr>
            <xdr:cNvPr id="63489" name="CommandButton1" hidden="1">
              <a:extLst>
                <a:ext uri="{63B3BB69-23CF-44E3-9099-C40C66FF867C}">
                  <a14:compatExt spid="_x0000_s63489"/>
                </a:ext>
                <a:ext uri="{FF2B5EF4-FFF2-40B4-BE49-F238E27FC236}">
                  <a16:creationId xmlns:a16="http://schemas.microsoft.com/office/drawing/2014/main" id="{00000000-0008-0000-0000-000001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0</xdr:row>
          <xdr:rowOff>209550</xdr:rowOff>
        </xdr:from>
        <xdr:to>
          <xdr:col>17</xdr:col>
          <xdr:colOff>828675</xdr:colOff>
          <xdr:row>3</xdr:row>
          <xdr:rowOff>219075</xdr:rowOff>
        </xdr:to>
        <xdr:sp macro="" textlink="">
          <xdr:nvSpPr>
            <xdr:cNvPr id="88065" name="CommandButton1" hidden="1">
              <a:extLst>
                <a:ext uri="{63B3BB69-23CF-44E3-9099-C40C66FF867C}">
                  <a14:compatExt spid="_x0000_s88065"/>
                </a:ext>
                <a:ext uri="{FF2B5EF4-FFF2-40B4-BE49-F238E27FC236}">
                  <a16:creationId xmlns:a16="http://schemas.microsoft.com/office/drawing/2014/main" id="{00000000-0008-0000-0200-000001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4">
    <pageSetUpPr fitToPage="1"/>
  </sheetPr>
  <dimension ref="A1:P622"/>
  <sheetViews>
    <sheetView showGridLines="0" showZeros="0" tabSelected="1" view="pageBreakPreview" zoomScale="80" zoomScaleNormal="85" zoomScaleSheetLayoutView="80" workbookViewId="0">
      <pane xSplit="1" ySplit="5" topLeftCell="B57" activePane="bottomRight" state="frozen"/>
      <selection pane="topRight" activeCell="B1" sqref="B1"/>
      <selection pane="bottomLeft" activeCell="A6" sqref="A6"/>
      <selection pane="bottomRight" activeCell="A75" sqref="A75"/>
    </sheetView>
  </sheetViews>
  <sheetFormatPr defaultRowHeight="15" x14ac:dyDescent="0.25"/>
  <cols>
    <col min="1" max="1" width="45" style="2" customWidth="1"/>
    <col min="2" max="2" width="13.28515625" style="33" customWidth="1"/>
    <col min="3" max="4" width="10.140625" style="34" customWidth="1"/>
    <col min="5" max="5" width="12.5703125" style="34" customWidth="1"/>
    <col min="6" max="6" width="11" style="34" customWidth="1"/>
    <col min="7" max="7" width="14" style="33" customWidth="1"/>
    <col min="8" max="8" width="10.42578125" style="34" customWidth="1"/>
    <col min="9" max="9" width="13.85546875" style="33" customWidth="1"/>
    <col min="10" max="10" width="11.85546875" style="34" customWidth="1"/>
    <col min="11" max="11" width="14.140625" style="34" customWidth="1"/>
    <col min="12" max="12" width="11.7109375" style="34" customWidth="1"/>
    <col min="13" max="13" width="15" style="33" customWidth="1"/>
    <col min="14" max="14" width="12.7109375" style="34" customWidth="1"/>
    <col min="15" max="15" width="10" style="34" customWidth="1"/>
    <col min="16" max="16" width="14" style="34" customWidth="1"/>
    <col min="17" max="16384" width="9.140625" style="2"/>
  </cols>
  <sheetData>
    <row r="1" spans="1:16" s="7" customFormat="1" ht="20.25" x14ac:dyDescent="0.3">
      <c r="A1" s="35" t="s">
        <v>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s="7" customFormat="1" ht="20.25" x14ac:dyDescent="0.3">
      <c r="A2" s="35" t="s">
        <v>89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14.25" customHeight="1" x14ac:dyDescent="0.3">
      <c r="A3" s="22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43.5" customHeight="1" x14ac:dyDescent="0.25">
      <c r="A4" s="38" t="s">
        <v>20</v>
      </c>
      <c r="B4" s="37" t="s">
        <v>1</v>
      </c>
      <c r="C4" s="37" t="s">
        <v>14</v>
      </c>
      <c r="D4" s="37"/>
      <c r="E4" s="37" t="s">
        <v>2</v>
      </c>
      <c r="F4" s="37"/>
      <c r="G4" s="37" t="s">
        <v>3</v>
      </c>
      <c r="H4" s="37"/>
      <c r="I4" s="37" t="s">
        <v>4</v>
      </c>
      <c r="J4" s="37"/>
      <c r="K4" s="36" t="s">
        <v>15</v>
      </c>
      <c r="L4" s="36"/>
      <c r="M4" s="37" t="s">
        <v>5</v>
      </c>
      <c r="N4" s="37"/>
      <c r="O4" s="37" t="s">
        <v>6</v>
      </c>
      <c r="P4" s="37"/>
    </row>
    <row r="5" spans="1:16" ht="43.5" customHeight="1" x14ac:dyDescent="0.25">
      <c r="A5" s="39"/>
      <c r="B5" s="37"/>
      <c r="C5" s="23" t="s">
        <v>7</v>
      </c>
      <c r="D5" s="23" t="s">
        <v>8</v>
      </c>
      <c r="E5" s="23" t="s">
        <v>7</v>
      </c>
      <c r="F5" s="23" t="s">
        <v>8</v>
      </c>
      <c r="G5" s="23" t="s">
        <v>7</v>
      </c>
      <c r="H5" s="23" t="s">
        <v>8</v>
      </c>
      <c r="I5" s="23" t="s">
        <v>7</v>
      </c>
      <c r="J5" s="23" t="s">
        <v>8</v>
      </c>
      <c r="K5" s="23" t="s">
        <v>7</v>
      </c>
      <c r="L5" s="24" t="s">
        <v>8</v>
      </c>
      <c r="M5" s="23" t="s">
        <v>7</v>
      </c>
      <c r="N5" s="23" t="s">
        <v>8</v>
      </c>
      <c r="O5" s="23" t="s">
        <v>7</v>
      </c>
      <c r="P5" s="23" t="s">
        <v>8</v>
      </c>
    </row>
    <row r="6" spans="1:16" s="20" customFormat="1" ht="20.25" x14ac:dyDescent="0.2">
      <c r="A6" s="46" t="s">
        <v>9</v>
      </c>
      <c r="B6" s="25">
        <v>81496.587388999978</v>
      </c>
      <c r="C6" s="25">
        <v>3.5305240000000002</v>
      </c>
      <c r="D6" s="27">
        <v>5.6904735589576932E-3</v>
      </c>
      <c r="E6" s="25">
        <v>11.861474999999999</v>
      </c>
      <c r="F6" s="27">
        <v>1.9118241331240828E-2</v>
      </c>
      <c r="G6" s="25">
        <v>19899.830457631997</v>
      </c>
      <c r="H6" s="25">
        <v>32.074405682243153</v>
      </c>
      <c r="I6" s="25">
        <v>28718.994656406005</v>
      </c>
      <c r="J6" s="25">
        <v>46.289072027870546</v>
      </c>
      <c r="K6" s="28">
        <v>48634.217113038001</v>
      </c>
      <c r="L6" s="28">
        <v>78.388286425003912</v>
      </c>
      <c r="M6" s="25">
        <v>13183.004871701</v>
      </c>
      <c r="N6" s="25">
        <v>21.248273811486619</v>
      </c>
      <c r="O6" s="25">
        <v>225.48787799999997</v>
      </c>
      <c r="P6" s="25">
        <v>0.36343976350946144</v>
      </c>
    </row>
    <row r="7" spans="1:16" s="21" customFormat="1" ht="20.25" x14ac:dyDescent="0.25">
      <c r="A7" s="46" t="s">
        <v>10</v>
      </c>
      <c r="B7" s="25">
        <v>29011.153280999999</v>
      </c>
      <c r="C7" s="25"/>
      <c r="D7" s="26"/>
      <c r="E7" s="25"/>
      <c r="F7" s="27"/>
      <c r="G7" s="25">
        <v>8188.5590314720002</v>
      </c>
      <c r="H7" s="25">
        <v>31.985835302574994</v>
      </c>
      <c r="I7" s="25">
        <v>12507.701430104</v>
      </c>
      <c r="J7" s="25">
        <v>48.857103724777154</v>
      </c>
      <c r="K7" s="28">
        <v>20696.260461575999</v>
      </c>
      <c r="L7" s="28">
        <v>80.842939027352131</v>
      </c>
      <c r="M7" s="25">
        <v>4902.5375260010005</v>
      </c>
      <c r="N7" s="25">
        <v>19.150104098739398</v>
      </c>
      <c r="O7" s="25">
        <v>1.7809999999999999</v>
      </c>
      <c r="P7" s="27">
        <v>6.9568739084543835E-3</v>
      </c>
    </row>
    <row r="8" spans="1:16" s="3" customFormat="1" ht="20.25" x14ac:dyDescent="0.25">
      <c r="A8" s="45" t="s">
        <v>30</v>
      </c>
      <c r="B8" s="29">
        <v>12.321999999999999</v>
      </c>
      <c r="C8" s="29"/>
      <c r="D8" s="29"/>
      <c r="E8" s="29"/>
      <c r="F8" s="29"/>
      <c r="G8" s="29">
        <v>1.2475000000000001</v>
      </c>
      <c r="H8" s="29">
        <v>22.306660706303084</v>
      </c>
      <c r="I8" s="29">
        <v>2.5950000000000002</v>
      </c>
      <c r="J8" s="29">
        <v>46.401430487259724</v>
      </c>
      <c r="K8" s="30">
        <v>3.8425000000000002</v>
      </c>
      <c r="L8" s="30">
        <v>68.708091193562808</v>
      </c>
      <c r="M8" s="29">
        <v>1.75</v>
      </c>
      <c r="N8" s="29">
        <v>31.291908806437192</v>
      </c>
      <c r="O8" s="29"/>
      <c r="P8" s="29"/>
    </row>
    <row r="9" spans="1:16" s="3" customFormat="1" ht="20.25" x14ac:dyDescent="0.25">
      <c r="A9" s="45" t="s">
        <v>24</v>
      </c>
      <c r="B9" s="29">
        <v>4945.42</v>
      </c>
      <c r="C9" s="29">
        <v>0</v>
      </c>
      <c r="D9" s="29">
        <v>0</v>
      </c>
      <c r="E9" s="29">
        <v>0</v>
      </c>
      <c r="F9" s="29">
        <v>0</v>
      </c>
      <c r="G9" s="29">
        <v>1615.2479900000001</v>
      </c>
      <c r="H9" s="29">
        <v>35.738470314220152</v>
      </c>
      <c r="I9" s="29">
        <v>2101.9958270000002</v>
      </c>
      <c r="J9" s="29">
        <v>46.508100260105657</v>
      </c>
      <c r="K9" s="30">
        <v>3717.2438170000005</v>
      </c>
      <c r="L9" s="30">
        <v>82.246570574325816</v>
      </c>
      <c r="M9" s="29">
        <v>802.39</v>
      </c>
      <c r="N9" s="29">
        <v>17.753429425674199</v>
      </c>
      <c r="O9" s="29">
        <v>0</v>
      </c>
      <c r="P9" s="29">
        <v>0</v>
      </c>
    </row>
    <row r="10" spans="1:16" s="3" customFormat="1" ht="20.25" x14ac:dyDescent="0.25">
      <c r="A10" s="45" t="s">
        <v>11</v>
      </c>
      <c r="B10" s="29">
        <v>12137.350685000001</v>
      </c>
      <c r="C10" s="29">
        <v>0</v>
      </c>
      <c r="D10" s="29">
        <v>0</v>
      </c>
      <c r="E10" s="29">
        <v>0</v>
      </c>
      <c r="F10" s="29">
        <v>0</v>
      </c>
      <c r="G10" s="29">
        <v>3901.7849944720006</v>
      </c>
      <c r="H10" s="29">
        <v>35.703035412691598</v>
      </c>
      <c r="I10" s="29">
        <v>5118.6582671040005</v>
      </c>
      <c r="J10" s="29">
        <v>46.837956892755734</v>
      </c>
      <c r="K10" s="30">
        <v>9020.4432615760015</v>
      </c>
      <c r="L10" s="30">
        <v>82.540992305447332</v>
      </c>
      <c r="M10" s="29">
        <v>1907.9972740010003</v>
      </c>
      <c r="N10" s="29">
        <v>17.459007694552653</v>
      </c>
      <c r="O10" s="29">
        <v>0</v>
      </c>
      <c r="P10" s="29">
        <v>0</v>
      </c>
    </row>
    <row r="11" spans="1:16" ht="20.25" x14ac:dyDescent="0.25">
      <c r="A11" s="45" t="s">
        <v>77</v>
      </c>
      <c r="B11" s="29">
        <v>0.65600000000000003</v>
      </c>
      <c r="C11" s="29"/>
      <c r="D11" s="29"/>
      <c r="E11" s="29"/>
      <c r="F11" s="29"/>
      <c r="G11" s="29"/>
      <c r="H11" s="29"/>
      <c r="I11" s="29"/>
      <c r="J11" s="29"/>
      <c r="K11" s="30">
        <v>0</v>
      </c>
      <c r="L11" s="30">
        <v>0</v>
      </c>
      <c r="M11" s="29">
        <v>0.51639999999999997</v>
      </c>
      <c r="N11" s="29">
        <v>100</v>
      </c>
      <c r="O11" s="29"/>
      <c r="P11" s="29"/>
    </row>
    <row r="12" spans="1:16" ht="20.25" x14ac:dyDescent="0.25">
      <c r="A12" s="45" t="s">
        <v>35</v>
      </c>
      <c r="B12" s="29">
        <v>1089.08889</v>
      </c>
      <c r="C12" s="29"/>
      <c r="D12" s="29"/>
      <c r="E12" s="29"/>
      <c r="F12" s="29"/>
      <c r="G12" s="29">
        <v>149.28044600000001</v>
      </c>
      <c r="H12" s="29">
        <v>19.372616823564151</v>
      </c>
      <c r="I12" s="29">
        <v>311.88628299999999</v>
      </c>
      <c r="J12" s="29">
        <v>40.474513675318796</v>
      </c>
      <c r="K12" s="30">
        <v>461.16672900000003</v>
      </c>
      <c r="L12" s="30">
        <v>59.847130498882947</v>
      </c>
      <c r="M12" s="29">
        <v>307.62677500000001</v>
      </c>
      <c r="N12" s="29">
        <v>39.92174324521902</v>
      </c>
      <c r="O12" s="29">
        <v>1.7809999999999999</v>
      </c>
      <c r="P12" s="29">
        <v>0.23112625589802796</v>
      </c>
    </row>
    <row r="13" spans="1:16" ht="20.25" x14ac:dyDescent="0.25">
      <c r="A13" s="45" t="s">
        <v>21</v>
      </c>
      <c r="B13" s="29">
        <v>380.29700000000003</v>
      </c>
      <c r="C13" s="29">
        <v>0</v>
      </c>
      <c r="D13" s="29">
        <v>0</v>
      </c>
      <c r="E13" s="29">
        <v>0</v>
      </c>
      <c r="F13" s="29">
        <v>0</v>
      </c>
      <c r="G13" s="29">
        <v>18.846</v>
      </c>
      <c r="H13" s="29">
        <v>6.3616478308421431</v>
      </c>
      <c r="I13" s="29">
        <v>162.279</v>
      </c>
      <c r="J13" s="29">
        <v>54.778830963665079</v>
      </c>
      <c r="K13" s="30">
        <v>181.125</v>
      </c>
      <c r="L13" s="30">
        <v>61.140478794507224</v>
      </c>
      <c r="M13" s="29">
        <v>115.119</v>
      </c>
      <c r="N13" s="29">
        <v>38.859521205492761</v>
      </c>
      <c r="O13" s="29">
        <v>0</v>
      </c>
      <c r="P13" s="29">
        <v>0</v>
      </c>
    </row>
    <row r="14" spans="1:16" ht="20.25" x14ac:dyDescent="0.25">
      <c r="A14" s="45" t="s">
        <v>22</v>
      </c>
      <c r="B14" s="29">
        <v>924.61970599999995</v>
      </c>
      <c r="C14" s="29">
        <v>0</v>
      </c>
      <c r="D14" s="29">
        <v>0</v>
      </c>
      <c r="E14" s="29">
        <v>0</v>
      </c>
      <c r="F14" s="29">
        <v>0</v>
      </c>
      <c r="G14" s="29">
        <v>184.589101</v>
      </c>
      <c r="H14" s="29">
        <v>29.100445528587805</v>
      </c>
      <c r="I14" s="29">
        <v>206.77991799999998</v>
      </c>
      <c r="J14" s="29">
        <v>32.598824673645559</v>
      </c>
      <c r="K14" s="30">
        <v>391.36901899999998</v>
      </c>
      <c r="L14" s="30">
        <v>61.699270202233357</v>
      </c>
      <c r="M14" s="29">
        <v>242.94807700000001</v>
      </c>
      <c r="N14" s="29">
        <v>38.300729797766635</v>
      </c>
      <c r="O14" s="29">
        <v>0</v>
      </c>
      <c r="P14" s="29">
        <v>0</v>
      </c>
    </row>
    <row r="15" spans="1:16" ht="20.25" x14ac:dyDescent="0.25">
      <c r="A15" s="45" t="s">
        <v>17</v>
      </c>
      <c r="B15" s="29">
        <v>9521.3989999999994</v>
      </c>
      <c r="C15" s="29">
        <v>0</v>
      </c>
      <c r="D15" s="29">
        <v>0</v>
      </c>
      <c r="E15" s="29">
        <v>0</v>
      </c>
      <c r="F15" s="29">
        <v>0</v>
      </c>
      <c r="G15" s="29">
        <v>2317.5630000000001</v>
      </c>
      <c r="H15" s="29">
        <v>27.442174224986143</v>
      </c>
      <c r="I15" s="29">
        <v>4603.5071349999998</v>
      </c>
      <c r="J15" s="29">
        <v>54.50995068726796</v>
      </c>
      <c r="K15" s="30">
        <v>6921.0701349999999</v>
      </c>
      <c r="L15" s="30">
        <v>81.952124912254092</v>
      </c>
      <c r="M15" s="29">
        <v>1524.19</v>
      </c>
      <c r="N15" s="29">
        <v>18.04787508774589</v>
      </c>
      <c r="O15" s="29">
        <v>0</v>
      </c>
      <c r="P15" s="29">
        <v>0</v>
      </c>
    </row>
    <row r="16" spans="1:16" ht="20.25" x14ac:dyDescent="0.25">
      <c r="A16" s="46" t="s">
        <v>25</v>
      </c>
      <c r="B16" s="25">
        <v>14391.662128</v>
      </c>
      <c r="C16" s="25"/>
      <c r="D16" s="26"/>
      <c r="E16" s="25">
        <v>1.04416</v>
      </c>
      <c r="F16" s="27">
        <v>1.137691074655783E-2</v>
      </c>
      <c r="G16" s="25">
        <v>2729.08930706</v>
      </c>
      <c r="H16" s="25">
        <v>29.735486386958875</v>
      </c>
      <c r="I16" s="25">
        <v>3718.2534991599996</v>
      </c>
      <c r="J16" s="25">
        <v>40.513176326443897</v>
      </c>
      <c r="K16" s="28">
        <v>6448.3869662199995</v>
      </c>
      <c r="L16" s="28">
        <v>70.260039624149329</v>
      </c>
      <c r="M16" s="25">
        <v>2662.0515356999999</v>
      </c>
      <c r="N16" s="25">
        <v>29.005059305466695</v>
      </c>
      <c r="O16" s="25">
        <v>67.448388999999992</v>
      </c>
      <c r="P16" s="25">
        <v>0.73490107038395736</v>
      </c>
    </row>
    <row r="17" spans="1:16" ht="20.25" x14ac:dyDescent="0.25">
      <c r="A17" s="45" t="s">
        <v>36</v>
      </c>
      <c r="B17" s="29">
        <v>1861.4780000000001</v>
      </c>
      <c r="C17" s="29"/>
      <c r="D17" s="29"/>
      <c r="E17" s="29"/>
      <c r="F17" s="29"/>
      <c r="G17" s="29">
        <v>203.02945126</v>
      </c>
      <c r="H17" s="29">
        <v>29.01873283529774</v>
      </c>
      <c r="I17" s="29">
        <v>217.09703125999999</v>
      </c>
      <c r="J17" s="29">
        <v>31.029393570111065</v>
      </c>
      <c r="K17" s="30">
        <v>420.12648251999997</v>
      </c>
      <c r="L17" s="30">
        <v>60.048126405408794</v>
      </c>
      <c r="M17" s="29">
        <v>276.374008</v>
      </c>
      <c r="N17" s="29">
        <v>39.501774008648525</v>
      </c>
      <c r="O17" s="29">
        <v>3.1491199999999999</v>
      </c>
      <c r="P17" s="29">
        <v>0.45009958594266669</v>
      </c>
    </row>
    <row r="18" spans="1:16" ht="20.25" x14ac:dyDescent="0.25">
      <c r="A18" s="45" t="s">
        <v>58</v>
      </c>
      <c r="B18" s="29">
        <v>2080.3000000000002</v>
      </c>
      <c r="C18" s="29"/>
      <c r="D18" s="29"/>
      <c r="E18" s="29"/>
      <c r="F18" s="29"/>
      <c r="G18" s="29">
        <v>239.83</v>
      </c>
      <c r="H18" s="29">
        <v>16.071380706033722</v>
      </c>
      <c r="I18" s="29">
        <v>812.03</v>
      </c>
      <c r="J18" s="29">
        <v>54.415391213445197</v>
      </c>
      <c r="K18" s="30">
        <v>1051.8599999999999</v>
      </c>
      <c r="L18" s="30">
        <v>70.486771919478912</v>
      </c>
      <c r="M18" s="29">
        <v>440.42</v>
      </c>
      <c r="N18" s="29">
        <v>29.513228080521081</v>
      </c>
      <c r="O18" s="29"/>
      <c r="P18" s="29"/>
    </row>
    <row r="19" spans="1:16" ht="20.25" x14ac:dyDescent="0.25">
      <c r="A19" s="45" t="s">
        <v>59</v>
      </c>
      <c r="B19" s="29">
        <v>396.19600000000003</v>
      </c>
      <c r="C19" s="29"/>
      <c r="D19" s="29"/>
      <c r="E19" s="29">
        <v>0.21013999999999999</v>
      </c>
      <c r="F19" s="29">
        <v>0.11685452335301839</v>
      </c>
      <c r="G19" s="29">
        <v>110.378677</v>
      </c>
      <c r="H19" s="29">
        <v>61.379307552925546</v>
      </c>
      <c r="I19" s="29">
        <v>40.276302999999999</v>
      </c>
      <c r="J19" s="29">
        <v>22.396822068557839</v>
      </c>
      <c r="K19" s="30">
        <v>150.86511999999999</v>
      </c>
      <c r="L19" s="30">
        <v>83.89298414483639</v>
      </c>
      <c r="M19" s="29">
        <v>25.055157000000001</v>
      </c>
      <c r="N19" s="29">
        <v>13.93265646126412</v>
      </c>
      <c r="O19" s="29">
        <v>3.9101599999999999</v>
      </c>
      <c r="P19" s="29">
        <v>2.1743593938994876</v>
      </c>
    </row>
    <row r="20" spans="1:16" ht="20.25" x14ac:dyDescent="0.25">
      <c r="A20" s="45" t="s">
        <v>37</v>
      </c>
      <c r="B20" s="29">
        <v>1405.5106599999999</v>
      </c>
      <c r="C20" s="29"/>
      <c r="D20" s="29"/>
      <c r="E20" s="29"/>
      <c r="F20" s="29"/>
      <c r="G20" s="29">
        <v>572.29698399999995</v>
      </c>
      <c r="H20" s="29">
        <v>59.606698619219536</v>
      </c>
      <c r="I20" s="29">
        <v>372.89538299999998</v>
      </c>
      <c r="J20" s="29">
        <v>38.838336270140893</v>
      </c>
      <c r="K20" s="30">
        <v>945.19236699999988</v>
      </c>
      <c r="L20" s="30">
        <v>98.445034889360429</v>
      </c>
      <c r="M20" s="29">
        <v>14.929561</v>
      </c>
      <c r="N20" s="29">
        <v>1.554965110639573</v>
      </c>
      <c r="O20" s="29"/>
      <c r="P20" s="29"/>
    </row>
    <row r="21" spans="1:16" ht="20.25" x14ac:dyDescent="0.25">
      <c r="A21" s="45" t="s">
        <v>38</v>
      </c>
      <c r="B21" s="29">
        <v>2302.46</v>
      </c>
      <c r="C21" s="29"/>
      <c r="D21" s="29"/>
      <c r="E21" s="29"/>
      <c r="F21" s="29"/>
      <c r="G21" s="29">
        <v>170.1228088</v>
      </c>
      <c r="H21" s="29">
        <v>10.546795234959017</v>
      </c>
      <c r="I21" s="29">
        <v>350.19184389999998</v>
      </c>
      <c r="J21" s="29">
        <v>21.710208622925297</v>
      </c>
      <c r="K21" s="30">
        <v>520.31465270000001</v>
      </c>
      <c r="L21" s="30">
        <v>32.257003857884314</v>
      </c>
      <c r="M21" s="29">
        <v>1043.7197257</v>
      </c>
      <c r="N21" s="29">
        <v>64.705598898185443</v>
      </c>
      <c r="O21" s="29">
        <v>48.994081999999999</v>
      </c>
      <c r="P21" s="29">
        <v>3.0373972439302408</v>
      </c>
    </row>
    <row r="22" spans="1:16" ht="20.25" x14ac:dyDescent="0.25">
      <c r="A22" s="45" t="s">
        <v>39</v>
      </c>
      <c r="B22" s="29">
        <v>1721.9</v>
      </c>
      <c r="C22" s="29"/>
      <c r="D22" s="29"/>
      <c r="E22" s="29"/>
      <c r="F22" s="29"/>
      <c r="G22" s="29">
        <v>284.84209600000003</v>
      </c>
      <c r="H22" s="29">
        <v>29.237303538267224</v>
      </c>
      <c r="I22" s="29">
        <v>461.10724299999998</v>
      </c>
      <c r="J22" s="29">
        <v>47.329845611319129</v>
      </c>
      <c r="K22" s="30">
        <v>745.94933900000001</v>
      </c>
      <c r="L22" s="30">
        <v>76.567149149586356</v>
      </c>
      <c r="M22" s="29">
        <v>225.35487900000001</v>
      </c>
      <c r="N22" s="29">
        <v>23.131303601812007</v>
      </c>
      <c r="O22" s="29">
        <v>2.9378000000000002</v>
      </c>
      <c r="P22" s="29">
        <v>0.30154724860163029</v>
      </c>
    </row>
    <row r="23" spans="1:16" ht="20.25" x14ac:dyDescent="0.25">
      <c r="A23" s="45" t="s">
        <v>73</v>
      </c>
      <c r="B23" s="29">
        <v>109.65600000000001</v>
      </c>
      <c r="C23" s="29"/>
      <c r="D23" s="29"/>
      <c r="E23" s="29">
        <v>0.83401999999999998</v>
      </c>
      <c r="F23" s="29">
        <v>7.6273996696335988</v>
      </c>
      <c r="G23" s="29">
        <v>4.9010660000000001</v>
      </c>
      <c r="H23" s="29">
        <v>44.821933753689919</v>
      </c>
      <c r="I23" s="29">
        <v>4.9261600000000003</v>
      </c>
      <c r="J23" s="29">
        <v>45.051427012016802</v>
      </c>
      <c r="K23" s="30">
        <v>10.661246</v>
      </c>
      <c r="L23" s="30">
        <v>97.500760435340311</v>
      </c>
      <c r="M23" s="29">
        <v>0.27328000000000002</v>
      </c>
      <c r="N23" s="29">
        <v>2.4992395646596846</v>
      </c>
      <c r="O23" s="29"/>
      <c r="P23" s="29"/>
    </row>
    <row r="24" spans="1:16" ht="20.25" x14ac:dyDescent="0.25">
      <c r="A24" s="45" t="s">
        <v>65</v>
      </c>
      <c r="B24" s="29">
        <v>153.678</v>
      </c>
      <c r="C24" s="29"/>
      <c r="D24" s="29"/>
      <c r="E24" s="29"/>
      <c r="F24" s="29"/>
      <c r="G24" s="29">
        <v>26.365245999999999</v>
      </c>
      <c r="H24" s="29">
        <v>55.981631995961287</v>
      </c>
      <c r="I24" s="29">
        <v>19.329647999999999</v>
      </c>
      <c r="J24" s="29">
        <v>41.042865329133257</v>
      </c>
      <c r="K24" s="30">
        <v>45.694893999999998</v>
      </c>
      <c r="L24" s="30">
        <v>97.024497325094543</v>
      </c>
      <c r="M24" s="29">
        <v>1.4013500000000001</v>
      </c>
      <c r="N24" s="29">
        <v>2.9755026749054556</v>
      </c>
      <c r="O24" s="29"/>
      <c r="P24" s="29"/>
    </row>
    <row r="25" spans="1:16" ht="20.25" x14ac:dyDescent="0.25">
      <c r="A25" s="45" t="s">
        <v>60</v>
      </c>
      <c r="B25" s="29">
        <v>878.09363000000008</v>
      </c>
      <c r="C25" s="29"/>
      <c r="D25" s="29"/>
      <c r="E25" s="29"/>
      <c r="F25" s="29"/>
      <c r="G25" s="29">
        <v>31.300647999999999</v>
      </c>
      <c r="H25" s="29">
        <v>4.9778924208082094</v>
      </c>
      <c r="I25" s="29">
        <v>285.83251799999999</v>
      </c>
      <c r="J25" s="29">
        <v>45.457318486592548</v>
      </c>
      <c r="K25" s="30">
        <v>317.13316600000002</v>
      </c>
      <c r="L25" s="30">
        <v>50.435210907400766</v>
      </c>
      <c r="M25" s="29">
        <v>303.97601600000002</v>
      </c>
      <c r="N25" s="29">
        <v>48.342766135508612</v>
      </c>
      <c r="O25" s="29">
        <v>7.6839969999999997</v>
      </c>
      <c r="P25" s="29">
        <v>1.2220229570906334</v>
      </c>
    </row>
    <row r="26" spans="1:16" ht="20.25" x14ac:dyDescent="0.25">
      <c r="A26" s="45" t="s">
        <v>46</v>
      </c>
      <c r="B26" s="29">
        <v>894.38983799999994</v>
      </c>
      <c r="C26" s="29"/>
      <c r="D26" s="29"/>
      <c r="E26" s="29"/>
      <c r="F26" s="29"/>
      <c r="G26" s="29">
        <v>166.83233000000001</v>
      </c>
      <c r="H26" s="29">
        <v>41.192101178377385</v>
      </c>
      <c r="I26" s="29">
        <v>202.30736899999999</v>
      </c>
      <c r="J26" s="29">
        <v>49.951143240517759</v>
      </c>
      <c r="K26" s="30">
        <v>369.13969900000001</v>
      </c>
      <c r="L26" s="30">
        <v>91.143244418895137</v>
      </c>
      <c r="M26" s="29">
        <v>35.097558999999997</v>
      </c>
      <c r="N26" s="29">
        <v>8.6658395374689636</v>
      </c>
      <c r="O26" s="29">
        <v>0.77322999999999997</v>
      </c>
      <c r="P26" s="29">
        <v>0.19091604363588727</v>
      </c>
    </row>
    <row r="27" spans="1:16" ht="20.25" x14ac:dyDescent="0.25">
      <c r="A27" s="45" t="s">
        <v>26</v>
      </c>
      <c r="B27" s="29">
        <v>2588</v>
      </c>
      <c r="C27" s="29"/>
      <c r="D27" s="29"/>
      <c r="E27" s="29"/>
      <c r="F27" s="29"/>
      <c r="G27" s="29">
        <v>919.19</v>
      </c>
      <c r="H27" s="29">
        <v>42.419585583091049</v>
      </c>
      <c r="I27" s="29">
        <v>952.26</v>
      </c>
      <c r="J27" s="29">
        <v>43.945728921500759</v>
      </c>
      <c r="K27" s="30">
        <v>1871.45</v>
      </c>
      <c r="L27" s="30">
        <v>86.365314504591822</v>
      </c>
      <c r="M27" s="29">
        <v>295.45</v>
      </c>
      <c r="N27" s="29">
        <v>13.634685495408187</v>
      </c>
      <c r="O27" s="29"/>
      <c r="P27" s="29"/>
    </row>
    <row r="28" spans="1:16" ht="20.25" x14ac:dyDescent="0.25">
      <c r="A28" s="46" t="s">
        <v>12</v>
      </c>
      <c r="B28" s="25">
        <v>8525.6236849999987</v>
      </c>
      <c r="C28" s="25">
        <v>0</v>
      </c>
      <c r="D28" s="26">
        <v>0</v>
      </c>
      <c r="E28" s="25">
        <v>3.02</v>
      </c>
      <c r="F28" s="27">
        <v>4.2943595880312616E-2</v>
      </c>
      <c r="G28" s="25">
        <v>1562.6265801</v>
      </c>
      <c r="H28" s="25">
        <v>22.220133896572634</v>
      </c>
      <c r="I28" s="25">
        <v>3249.3619042719997</v>
      </c>
      <c r="J28" s="25">
        <v>46.205061088059537</v>
      </c>
      <c r="K28" s="28">
        <v>4815.0084843719997</v>
      </c>
      <c r="L28" s="28">
        <v>68.468138580512488</v>
      </c>
      <c r="M28" s="25">
        <v>2101.237001</v>
      </c>
      <c r="N28" s="25">
        <v>29.879030668776167</v>
      </c>
      <c r="O28" s="25">
        <v>116.235</v>
      </c>
      <c r="P28" s="25">
        <v>1.6528307507113038</v>
      </c>
    </row>
    <row r="29" spans="1:16" ht="20.25" x14ac:dyDescent="0.25">
      <c r="A29" s="45" t="s">
        <v>40</v>
      </c>
      <c r="B29" s="29">
        <v>144.43199999999999</v>
      </c>
      <c r="C29" s="29"/>
      <c r="D29" s="29"/>
      <c r="E29" s="29">
        <v>1.22</v>
      </c>
      <c r="F29" s="29">
        <v>0.8771929824561403</v>
      </c>
      <c r="G29" s="29">
        <v>95.68</v>
      </c>
      <c r="H29" s="29">
        <v>68.794938165084844</v>
      </c>
      <c r="I29" s="29">
        <v>12.14</v>
      </c>
      <c r="J29" s="29">
        <v>8.728789186079954</v>
      </c>
      <c r="K29" s="30">
        <v>109.04</v>
      </c>
      <c r="L29" s="30">
        <v>78.400920333620945</v>
      </c>
      <c r="M29" s="29">
        <v>1.48</v>
      </c>
      <c r="N29" s="29">
        <v>1.0641357492090882</v>
      </c>
      <c r="O29" s="29">
        <v>28.56</v>
      </c>
      <c r="P29" s="29">
        <v>20.534943917169972</v>
      </c>
    </row>
    <row r="30" spans="1:16" ht="20.25" x14ac:dyDescent="0.25">
      <c r="A30" s="45" t="s">
        <v>27</v>
      </c>
      <c r="B30" s="29">
        <v>50.072000000000003</v>
      </c>
      <c r="C30" s="29"/>
      <c r="D30" s="29"/>
      <c r="E30" s="29"/>
      <c r="F30" s="29"/>
      <c r="G30" s="29">
        <v>15.89</v>
      </c>
      <c r="H30" s="29">
        <v>35.299344662890149</v>
      </c>
      <c r="I30" s="29">
        <v>18</v>
      </c>
      <c r="J30" s="29">
        <v>39.986671109630123</v>
      </c>
      <c r="K30" s="30">
        <v>33.89</v>
      </c>
      <c r="L30" s="30">
        <v>75.286015772520273</v>
      </c>
      <c r="M30" s="29"/>
      <c r="N30" s="29"/>
      <c r="O30" s="29">
        <v>11.125</v>
      </c>
      <c r="P30" s="29">
        <v>24.713984227479731</v>
      </c>
    </row>
    <row r="31" spans="1:16" ht="20.25" x14ac:dyDescent="0.25">
      <c r="A31" s="45" t="s">
        <v>31</v>
      </c>
      <c r="B31" s="29">
        <v>304.56</v>
      </c>
      <c r="C31" s="29"/>
      <c r="D31" s="29"/>
      <c r="E31" s="29"/>
      <c r="F31" s="29"/>
      <c r="G31" s="29">
        <v>169.57</v>
      </c>
      <c r="H31" s="29">
        <v>63.459451367838035</v>
      </c>
      <c r="I31" s="29">
        <v>35.270000000000003</v>
      </c>
      <c r="J31" s="29">
        <v>13.19935631151529</v>
      </c>
      <c r="K31" s="30">
        <v>204.84</v>
      </c>
      <c r="L31" s="30">
        <v>76.65880767935333</v>
      </c>
      <c r="M31" s="29">
        <v>1.2</v>
      </c>
      <c r="N31" s="29">
        <v>0.44908498933423147</v>
      </c>
      <c r="O31" s="29">
        <v>61.17</v>
      </c>
      <c r="P31" s="29">
        <v>22.892107331312452</v>
      </c>
    </row>
    <row r="32" spans="1:16" ht="20.25" x14ac:dyDescent="0.25">
      <c r="A32" s="45" t="s">
        <v>47</v>
      </c>
      <c r="B32" s="29">
        <v>80</v>
      </c>
      <c r="C32" s="29"/>
      <c r="D32" s="29"/>
      <c r="E32" s="29"/>
      <c r="F32" s="29"/>
      <c r="G32" s="29">
        <v>39.28212400000001</v>
      </c>
      <c r="H32" s="29">
        <v>60.284134394491595</v>
      </c>
      <c r="I32" s="29">
        <v>24.327304999999999</v>
      </c>
      <c r="J32" s="29">
        <v>37.333788877500282</v>
      </c>
      <c r="K32" s="30">
        <v>63.609429000000006</v>
      </c>
      <c r="L32" s="30">
        <v>97.61792327199187</v>
      </c>
      <c r="M32" s="29">
        <v>1.5522</v>
      </c>
      <c r="N32" s="29">
        <v>2.3820767280081347</v>
      </c>
      <c r="O32" s="29"/>
      <c r="P32" s="29"/>
    </row>
    <row r="33" spans="1:16" ht="20.25" x14ac:dyDescent="0.25">
      <c r="A33" s="45" t="s">
        <v>32</v>
      </c>
      <c r="B33" s="29">
        <v>150.018</v>
      </c>
      <c r="C33" s="29"/>
      <c r="D33" s="29"/>
      <c r="E33" s="29"/>
      <c r="F33" s="29"/>
      <c r="G33" s="29">
        <v>19.553000000000001</v>
      </c>
      <c r="H33" s="29">
        <v>54.084031753934667</v>
      </c>
      <c r="I33" s="29">
        <v>12.43</v>
      </c>
      <c r="J33" s="29">
        <v>34.38165574087904</v>
      </c>
      <c r="K33" s="30">
        <v>31.983000000000001</v>
      </c>
      <c r="L33" s="30">
        <v>88.465687494813722</v>
      </c>
      <c r="M33" s="29">
        <v>4.17</v>
      </c>
      <c r="N33" s="29">
        <v>11.534312505186293</v>
      </c>
      <c r="O33" s="29"/>
      <c r="P33" s="29"/>
    </row>
    <row r="34" spans="1:16" ht="20.25" x14ac:dyDescent="0.25">
      <c r="A34" s="45" t="s">
        <v>28</v>
      </c>
      <c r="B34" s="29">
        <v>205.4</v>
      </c>
      <c r="C34" s="29"/>
      <c r="D34" s="29"/>
      <c r="E34" s="29">
        <v>1.8</v>
      </c>
      <c r="F34" s="29">
        <v>1.8711991267737409</v>
      </c>
      <c r="G34" s="29">
        <v>63.62</v>
      </c>
      <c r="H34" s="29">
        <v>66.136493580747441</v>
      </c>
      <c r="I34" s="29">
        <v>10.365</v>
      </c>
      <c r="J34" s="29">
        <v>10.77498830500546</v>
      </c>
      <c r="K34" s="30">
        <v>75.784999999999997</v>
      </c>
      <c r="L34" s="30">
        <v>78.782681012526652</v>
      </c>
      <c r="M34" s="29">
        <v>5.03</v>
      </c>
      <c r="N34" s="29">
        <v>5.2289620042621765</v>
      </c>
      <c r="O34" s="29">
        <v>15.38</v>
      </c>
      <c r="P34" s="29">
        <v>15.988356983211188</v>
      </c>
    </row>
    <row r="35" spans="1:16" ht="20.25" x14ac:dyDescent="0.25">
      <c r="A35" s="45" t="s">
        <v>13</v>
      </c>
      <c r="B35" s="29">
        <v>7591.1416849999996</v>
      </c>
      <c r="C35" s="29">
        <v>0</v>
      </c>
      <c r="D35" s="29">
        <v>0</v>
      </c>
      <c r="E35" s="29">
        <v>0</v>
      </c>
      <c r="F35" s="29">
        <v>0</v>
      </c>
      <c r="G35" s="29">
        <v>1159.0314560999998</v>
      </c>
      <c r="H35" s="29">
        <v>18.156204948338363</v>
      </c>
      <c r="I35" s="29">
        <v>3136.8295992720005</v>
      </c>
      <c r="J35" s="29">
        <v>49.138373935109747</v>
      </c>
      <c r="K35" s="30">
        <v>4295.861055372</v>
      </c>
      <c r="L35" s="30">
        <v>67.294578883448111</v>
      </c>
      <c r="M35" s="29">
        <v>2087.8048009999998</v>
      </c>
      <c r="N35" s="29">
        <v>32.705421116551861</v>
      </c>
      <c r="O35" s="29">
        <v>0</v>
      </c>
      <c r="P35" s="29">
        <v>0</v>
      </c>
    </row>
    <row r="36" spans="1:16" ht="20.25" x14ac:dyDescent="0.25">
      <c r="A36" s="46" t="s">
        <v>29</v>
      </c>
      <c r="B36" s="25">
        <v>20137.029495000002</v>
      </c>
      <c r="C36" s="25">
        <v>0</v>
      </c>
      <c r="D36" s="26">
        <v>0</v>
      </c>
      <c r="E36" s="25">
        <v>1.77467</v>
      </c>
      <c r="F36" s="27">
        <v>1.1852947329389215E-2</v>
      </c>
      <c r="G36" s="25">
        <v>4312.0382849999996</v>
      </c>
      <c r="H36" s="25">
        <v>28.799924873026981</v>
      </c>
      <c r="I36" s="25">
        <v>7701.8290888700012</v>
      </c>
      <c r="J36" s="25">
        <v>51.440197067811951</v>
      </c>
      <c r="K36" s="28">
        <v>12015.642043870001</v>
      </c>
      <c r="L36" s="28">
        <v>80.251974888168334</v>
      </c>
      <c r="M36" s="25">
        <v>2938.7705940000001</v>
      </c>
      <c r="N36" s="25">
        <v>19.627926918153719</v>
      </c>
      <c r="O36" s="25">
        <v>17.981574999999999</v>
      </c>
      <c r="P36" s="25">
        <v>0.12009819367795808</v>
      </c>
    </row>
    <row r="37" spans="1:16" ht="20.25" x14ac:dyDescent="0.25">
      <c r="A37" s="45" t="s">
        <v>33</v>
      </c>
      <c r="B37" s="29">
        <v>2115.9120600000001</v>
      </c>
      <c r="C37" s="29"/>
      <c r="D37" s="29"/>
      <c r="E37" s="29"/>
      <c r="F37" s="29"/>
      <c r="G37" s="29">
        <v>472.55183699999998</v>
      </c>
      <c r="H37" s="29">
        <v>28.713858224988098</v>
      </c>
      <c r="I37" s="29">
        <v>700.59570399999996</v>
      </c>
      <c r="J37" s="29">
        <v>42.570579865699955</v>
      </c>
      <c r="K37" s="30">
        <v>1173.1475409999998</v>
      </c>
      <c r="L37" s="30">
        <v>71.284438090688042</v>
      </c>
      <c r="M37" s="29">
        <v>472.57987500000002</v>
      </c>
      <c r="N37" s="29">
        <v>28.715561909311965</v>
      </c>
      <c r="O37" s="29"/>
      <c r="P37" s="29"/>
    </row>
    <row r="38" spans="1:16" ht="20.25" x14ac:dyDescent="0.25">
      <c r="A38" s="45" t="s">
        <v>48</v>
      </c>
      <c r="B38" s="29">
        <v>2405.2180000000003</v>
      </c>
      <c r="C38" s="29"/>
      <c r="D38" s="29"/>
      <c r="E38" s="29"/>
      <c r="F38" s="29"/>
      <c r="G38" s="29">
        <v>504.483406</v>
      </c>
      <c r="H38" s="29">
        <v>25.344700979280322</v>
      </c>
      <c r="I38" s="29">
        <v>1046.984414</v>
      </c>
      <c r="J38" s="29">
        <v>52.599365186646061</v>
      </c>
      <c r="K38" s="30">
        <v>1551.4678200000001</v>
      </c>
      <c r="L38" s="30">
        <v>77.944066165926387</v>
      </c>
      <c r="M38" s="29">
        <v>439.02086800000001</v>
      </c>
      <c r="N38" s="29">
        <v>22.055933834073613</v>
      </c>
      <c r="O38" s="29"/>
      <c r="P38" s="29"/>
    </row>
    <row r="39" spans="1:16" ht="20.25" x14ac:dyDescent="0.25">
      <c r="A39" s="45" t="s">
        <v>78</v>
      </c>
      <c r="B39" s="29">
        <v>58.262</v>
      </c>
      <c r="C39" s="29"/>
      <c r="D39" s="29"/>
      <c r="E39" s="29"/>
      <c r="F39" s="29"/>
      <c r="G39" s="29">
        <v>3.6884999999999999</v>
      </c>
      <c r="H39" s="29">
        <v>17.775723715567217</v>
      </c>
      <c r="I39" s="29">
        <v>7.5273000000000003</v>
      </c>
      <c r="J39" s="29">
        <v>36.275777449963158</v>
      </c>
      <c r="K39" s="30">
        <v>11.2158</v>
      </c>
      <c r="L39" s="30">
        <v>54.051501165530368</v>
      </c>
      <c r="M39" s="29">
        <v>9.5344099999999994</v>
      </c>
      <c r="N39" s="29">
        <v>45.948498834469625</v>
      </c>
      <c r="O39" s="29"/>
      <c r="P39" s="29"/>
    </row>
    <row r="40" spans="1:16" ht="20.25" x14ac:dyDescent="0.25">
      <c r="A40" s="45" t="s">
        <v>49</v>
      </c>
      <c r="B40" s="29">
        <v>2500.1999999999998</v>
      </c>
      <c r="C40" s="29"/>
      <c r="D40" s="29"/>
      <c r="E40" s="29">
        <v>1.77467</v>
      </c>
      <c r="F40" s="29">
        <v>9.1432945434290425E-2</v>
      </c>
      <c r="G40" s="29">
        <v>515.65518099999997</v>
      </c>
      <c r="H40" s="29">
        <v>26.567120663155492</v>
      </c>
      <c r="I40" s="29">
        <v>1020.237216</v>
      </c>
      <c r="J40" s="29">
        <v>52.563740695768999</v>
      </c>
      <c r="K40" s="30">
        <v>1537.6670669999999</v>
      </c>
      <c r="L40" s="30">
        <v>79.222294304358769</v>
      </c>
      <c r="M40" s="29">
        <v>403.28538900000001</v>
      </c>
      <c r="N40" s="29">
        <v>20.777705695641213</v>
      </c>
      <c r="O40" s="29"/>
      <c r="P40" s="29"/>
    </row>
    <row r="41" spans="1:16" ht="20.25" x14ac:dyDescent="0.25">
      <c r="A41" s="45" t="s">
        <v>41</v>
      </c>
      <c r="B41" s="29">
        <v>3702.8</v>
      </c>
      <c r="C41" s="29">
        <v>0</v>
      </c>
      <c r="D41" s="29">
        <v>0</v>
      </c>
      <c r="E41" s="29">
        <v>0</v>
      </c>
      <c r="F41" s="29">
        <v>0</v>
      </c>
      <c r="G41" s="29">
        <v>821.38653299999999</v>
      </c>
      <c r="H41" s="29">
        <v>26.717291672906711</v>
      </c>
      <c r="I41" s="29">
        <v>1449.5820179999998</v>
      </c>
      <c r="J41" s="29">
        <v>47.1506459172818</v>
      </c>
      <c r="K41" s="30">
        <v>2270.9685509999999</v>
      </c>
      <c r="L41" s="30">
        <v>73.867937590188532</v>
      </c>
      <c r="M41" s="29">
        <v>793.225865</v>
      </c>
      <c r="N41" s="29">
        <v>25.801307845034664</v>
      </c>
      <c r="O41" s="29">
        <v>10.168596000000001</v>
      </c>
      <c r="P41" s="29">
        <v>0.33075456477681564</v>
      </c>
    </row>
    <row r="42" spans="1:16" ht="20.25" x14ac:dyDescent="0.25">
      <c r="A42" s="45" t="s">
        <v>79</v>
      </c>
      <c r="B42" s="29">
        <v>134</v>
      </c>
      <c r="C42" s="29"/>
      <c r="D42" s="29"/>
      <c r="E42" s="29"/>
      <c r="F42" s="29"/>
      <c r="G42" s="29">
        <v>17.313565000000001</v>
      </c>
      <c r="H42" s="29">
        <v>43.749259151080821</v>
      </c>
      <c r="I42" s="29">
        <v>17.653468</v>
      </c>
      <c r="J42" s="29">
        <v>44.608152419638152</v>
      </c>
      <c r="K42" s="30">
        <v>34.967033000000001</v>
      </c>
      <c r="L42" s="30">
        <v>88.357411570718966</v>
      </c>
      <c r="M42" s="29">
        <v>4.6074999999999999</v>
      </c>
      <c r="N42" s="29">
        <v>11.642588429281021</v>
      </c>
      <c r="O42" s="29"/>
      <c r="P42" s="29"/>
    </row>
    <row r="43" spans="1:16" ht="20.25" x14ac:dyDescent="0.25">
      <c r="A43" s="45" t="s">
        <v>50</v>
      </c>
      <c r="B43" s="29">
        <v>1610.1020000000001</v>
      </c>
      <c r="C43" s="29"/>
      <c r="D43" s="29"/>
      <c r="E43" s="29"/>
      <c r="F43" s="29"/>
      <c r="G43" s="29">
        <v>98.434487000000004</v>
      </c>
      <c r="H43" s="29">
        <v>19.02227119058719</v>
      </c>
      <c r="I43" s="29">
        <v>340.68625100000003</v>
      </c>
      <c r="J43" s="29">
        <v>65.836948562818804</v>
      </c>
      <c r="K43" s="30">
        <v>439.12073800000002</v>
      </c>
      <c r="L43" s="30">
        <v>84.859219753405995</v>
      </c>
      <c r="M43" s="29">
        <v>78.348947999999993</v>
      </c>
      <c r="N43" s="29">
        <v>15.140780246593998</v>
      </c>
      <c r="O43" s="29"/>
      <c r="P43" s="29"/>
    </row>
    <row r="44" spans="1:16" ht="20.25" x14ac:dyDescent="0.25">
      <c r="A44" s="45" t="s">
        <v>80</v>
      </c>
      <c r="B44" s="29">
        <v>15.725</v>
      </c>
      <c r="C44" s="29"/>
      <c r="D44" s="29"/>
      <c r="E44" s="29"/>
      <c r="F44" s="29"/>
      <c r="G44" s="29">
        <v>0.45</v>
      </c>
      <c r="H44" s="29">
        <v>6.8048350621394862</v>
      </c>
      <c r="I44" s="29">
        <v>2.5331600000000001</v>
      </c>
      <c r="J44" s="29">
        <v>38.306079968909465</v>
      </c>
      <c r="K44" s="30">
        <v>2.9831600000000003</v>
      </c>
      <c r="L44" s="30">
        <v>45.110915031048954</v>
      </c>
      <c r="M44" s="29">
        <v>3.629785</v>
      </c>
      <c r="N44" s="29">
        <v>54.889084968951053</v>
      </c>
      <c r="O44" s="29"/>
      <c r="P44" s="29"/>
    </row>
    <row r="45" spans="1:16" ht="20.25" x14ac:dyDescent="0.25">
      <c r="A45" s="45" t="s">
        <v>51</v>
      </c>
      <c r="B45" s="29">
        <v>266.98599999999999</v>
      </c>
      <c r="C45" s="29">
        <v>0</v>
      </c>
      <c r="D45" s="29">
        <v>0</v>
      </c>
      <c r="E45" s="29">
        <v>0</v>
      </c>
      <c r="F45" s="29">
        <v>0</v>
      </c>
      <c r="G45" s="29">
        <v>87.295108999999997</v>
      </c>
      <c r="H45" s="29">
        <v>46.671937344594255</v>
      </c>
      <c r="I45" s="29">
        <v>71.622865999999988</v>
      </c>
      <c r="J45" s="29">
        <v>38.292843123573732</v>
      </c>
      <c r="K45" s="30">
        <v>158.91797499999998</v>
      </c>
      <c r="L45" s="30">
        <v>84.964780468167987</v>
      </c>
      <c r="M45" s="29">
        <v>21.158868999999996</v>
      </c>
      <c r="N45" s="29">
        <v>11.312494131263156</v>
      </c>
      <c r="O45" s="29">
        <v>6.9629789999999998</v>
      </c>
      <c r="P45" s="29">
        <v>3.7227254005688404</v>
      </c>
    </row>
    <row r="46" spans="1:16" ht="20.25" x14ac:dyDescent="0.25">
      <c r="A46" s="45" t="s">
        <v>34</v>
      </c>
      <c r="B46" s="29">
        <v>570.41999999999996</v>
      </c>
      <c r="C46" s="29"/>
      <c r="D46" s="29"/>
      <c r="E46" s="29"/>
      <c r="F46" s="29"/>
      <c r="G46" s="29">
        <v>293.543114</v>
      </c>
      <c r="H46" s="29">
        <v>56.789992221397448</v>
      </c>
      <c r="I46" s="29">
        <v>217.395216</v>
      </c>
      <c r="J46" s="29">
        <v>42.058123787598085</v>
      </c>
      <c r="K46" s="30">
        <v>510.93833000000001</v>
      </c>
      <c r="L46" s="30">
        <v>98.848116008995518</v>
      </c>
      <c r="M46" s="29">
        <v>5.9539999999999997</v>
      </c>
      <c r="N46" s="29">
        <v>1.1518839910044707</v>
      </c>
      <c r="O46" s="29"/>
      <c r="P46" s="29"/>
    </row>
    <row r="47" spans="1:16" ht="20.25" x14ac:dyDescent="0.25">
      <c r="A47" s="45" t="s">
        <v>52</v>
      </c>
      <c r="B47" s="29">
        <v>152.94300000000001</v>
      </c>
      <c r="C47" s="29"/>
      <c r="D47" s="29"/>
      <c r="E47" s="29"/>
      <c r="F47" s="29"/>
      <c r="G47" s="29">
        <v>28.946959</v>
      </c>
      <c r="H47" s="29">
        <v>25.110868569269506</v>
      </c>
      <c r="I47" s="29">
        <v>75.814114869999997</v>
      </c>
      <c r="J47" s="29">
        <v>65.767125113075636</v>
      </c>
      <c r="K47" s="30">
        <v>104.76107386999999</v>
      </c>
      <c r="L47" s="30">
        <v>90.877993682345135</v>
      </c>
      <c r="M47" s="29">
        <v>10.51554</v>
      </c>
      <c r="N47" s="29">
        <v>9.1220063176548614</v>
      </c>
      <c r="O47" s="29"/>
      <c r="P47" s="29"/>
    </row>
    <row r="48" spans="1:16" ht="20.25" x14ac:dyDescent="0.25">
      <c r="A48" s="45" t="s">
        <v>42</v>
      </c>
      <c r="B48" s="29">
        <v>2473.5619999999999</v>
      </c>
      <c r="C48" s="29"/>
      <c r="D48" s="29"/>
      <c r="E48" s="29"/>
      <c r="F48" s="29"/>
      <c r="G48" s="29">
        <v>143.01561599999999</v>
      </c>
      <c r="H48" s="29">
        <v>8.4177903477150409</v>
      </c>
      <c r="I48" s="29">
        <v>1190.647592</v>
      </c>
      <c r="J48" s="29">
        <v>70.080611389093036</v>
      </c>
      <c r="K48" s="30">
        <v>1333.6632079999999</v>
      </c>
      <c r="L48" s="30">
        <v>78.498401736808077</v>
      </c>
      <c r="M48" s="29">
        <v>365.305406</v>
      </c>
      <c r="N48" s="29">
        <v>21.50159826319193</v>
      </c>
      <c r="O48" s="29"/>
      <c r="P48" s="29"/>
    </row>
    <row r="49" spans="1:16" ht="20.25" x14ac:dyDescent="0.25">
      <c r="A49" s="45" t="s">
        <v>66</v>
      </c>
      <c r="B49" s="29">
        <v>101.06</v>
      </c>
      <c r="C49" s="29"/>
      <c r="D49" s="29"/>
      <c r="E49" s="29"/>
      <c r="F49" s="29"/>
      <c r="G49" s="29">
        <v>14.830539999999999</v>
      </c>
      <c r="H49" s="29">
        <v>23.100054640621096</v>
      </c>
      <c r="I49" s="29">
        <v>31.025904000000001</v>
      </c>
      <c r="J49" s="29">
        <v>48.325959653166009</v>
      </c>
      <c r="K49" s="30">
        <v>45.856443999999996</v>
      </c>
      <c r="L49" s="30">
        <v>71.426014293787105</v>
      </c>
      <c r="M49" s="29">
        <v>18.344875999999999</v>
      </c>
      <c r="N49" s="29">
        <v>28.573985706212895</v>
      </c>
      <c r="O49" s="29"/>
      <c r="P49" s="29"/>
    </row>
    <row r="50" spans="1:16" ht="20.25" x14ac:dyDescent="0.25">
      <c r="A50" s="45" t="s">
        <v>53</v>
      </c>
      <c r="B50" s="29">
        <v>1580.2</v>
      </c>
      <c r="C50" s="29"/>
      <c r="D50" s="29"/>
      <c r="E50" s="29"/>
      <c r="F50" s="29"/>
      <c r="G50" s="29">
        <v>834.08896300000004</v>
      </c>
      <c r="H50" s="29">
        <v>75.904556840532692</v>
      </c>
      <c r="I50" s="29">
        <v>202.238077</v>
      </c>
      <c r="J50" s="29">
        <v>18.404261765739882</v>
      </c>
      <c r="K50" s="30">
        <v>1036.3270400000001</v>
      </c>
      <c r="L50" s="30">
        <v>94.308818606272581</v>
      </c>
      <c r="M50" s="29">
        <v>61.688426999999997</v>
      </c>
      <c r="N50" s="29">
        <v>5.6138288855700287</v>
      </c>
      <c r="O50" s="29">
        <v>0.85</v>
      </c>
      <c r="P50" s="29">
        <v>7.7352508157397568E-2</v>
      </c>
    </row>
    <row r="51" spans="1:16" ht="20.25" x14ac:dyDescent="0.25">
      <c r="A51" s="45" t="s">
        <v>61</v>
      </c>
      <c r="B51" s="29">
        <v>196.548</v>
      </c>
      <c r="C51" s="29">
        <v>0</v>
      </c>
      <c r="D51" s="29">
        <v>0</v>
      </c>
      <c r="E51" s="29">
        <v>0</v>
      </c>
      <c r="F51" s="29">
        <v>0</v>
      </c>
      <c r="G51" s="29">
        <v>89.038015999999999</v>
      </c>
      <c r="H51" s="29">
        <v>56.559646747914904</v>
      </c>
      <c r="I51" s="29">
        <v>64.898511999999997</v>
      </c>
      <c r="J51" s="29">
        <v>41.225502073016948</v>
      </c>
      <c r="K51" s="30">
        <v>153.93652800000001</v>
      </c>
      <c r="L51" s="30">
        <v>97.785148820931852</v>
      </c>
      <c r="M51" s="29">
        <v>3.4866899999999998</v>
      </c>
      <c r="N51" s="29">
        <v>2.2148511790681344</v>
      </c>
      <c r="O51" s="29">
        <v>0</v>
      </c>
      <c r="P51" s="29">
        <v>0</v>
      </c>
    </row>
    <row r="52" spans="1:16" ht="20.25" x14ac:dyDescent="0.25">
      <c r="A52" s="45" t="s">
        <v>81</v>
      </c>
      <c r="B52" s="29">
        <v>27.965935000000002</v>
      </c>
      <c r="C52" s="29"/>
      <c r="D52" s="29"/>
      <c r="E52" s="29"/>
      <c r="F52" s="29"/>
      <c r="G52" s="29">
        <v>1.0166200000000001</v>
      </c>
      <c r="H52" s="29">
        <v>4.6803220178669145</v>
      </c>
      <c r="I52" s="29">
        <v>7.4695</v>
      </c>
      <c r="J52" s="29">
        <v>34.3881345167879</v>
      </c>
      <c r="K52" s="30">
        <v>8.4861199999999997</v>
      </c>
      <c r="L52" s="30">
        <v>39.068456534654814</v>
      </c>
      <c r="M52" s="29">
        <v>13.235035</v>
      </c>
      <c r="N52" s="29">
        <v>60.931543465345193</v>
      </c>
      <c r="O52" s="29"/>
      <c r="P52" s="29"/>
    </row>
    <row r="53" spans="1:16" ht="20.25" x14ac:dyDescent="0.25">
      <c r="A53" s="45" t="s">
        <v>54</v>
      </c>
      <c r="B53" s="29">
        <v>2225.1255000000001</v>
      </c>
      <c r="C53" s="29"/>
      <c r="D53" s="29"/>
      <c r="E53" s="29"/>
      <c r="F53" s="29"/>
      <c r="G53" s="29">
        <v>386.29983900000002</v>
      </c>
      <c r="H53" s="29">
        <v>20.590943469459518</v>
      </c>
      <c r="I53" s="29">
        <v>1254.917776</v>
      </c>
      <c r="J53" s="29">
        <v>66.890892451124898</v>
      </c>
      <c r="K53" s="30">
        <v>1641.217615</v>
      </c>
      <c r="L53" s="30">
        <v>87.481835920584416</v>
      </c>
      <c r="M53" s="29">
        <v>234.84911099999999</v>
      </c>
      <c r="N53" s="29">
        <v>12.518164079415584</v>
      </c>
      <c r="O53" s="29"/>
      <c r="P53" s="29"/>
    </row>
    <row r="54" spans="1:16" ht="20.25" x14ac:dyDescent="0.25">
      <c r="A54" s="46" t="s">
        <v>62</v>
      </c>
      <c r="B54" s="25">
        <v>2707.1800000000003</v>
      </c>
      <c r="C54" s="25">
        <v>3.5305240000000002</v>
      </c>
      <c r="D54" s="25">
        <v>0.28774249282800091</v>
      </c>
      <c r="E54" s="25">
        <v>6.0226449999999998</v>
      </c>
      <c r="F54" s="25">
        <v>0.49085373324698983</v>
      </c>
      <c r="G54" s="25">
        <v>621.06326200000001</v>
      </c>
      <c r="H54" s="25">
        <v>50.617497915824913</v>
      </c>
      <c r="I54" s="25">
        <v>419.55466999999999</v>
      </c>
      <c r="J54" s="25">
        <v>34.194274454281938</v>
      </c>
      <c r="K54" s="28">
        <v>1050.1711009999999</v>
      </c>
      <c r="L54" s="28">
        <v>85.590368596181833</v>
      </c>
      <c r="M54" s="25">
        <v>176.102352</v>
      </c>
      <c r="N54" s="25">
        <v>14.35258045472969</v>
      </c>
      <c r="O54" s="25">
        <v>0.7</v>
      </c>
      <c r="P54" s="25">
        <v>5.7050949088464094E-2</v>
      </c>
    </row>
    <row r="55" spans="1:16" ht="20.25" x14ac:dyDescent="0.25">
      <c r="A55" s="45" t="s">
        <v>82</v>
      </c>
      <c r="B55" s="29">
        <v>915.4</v>
      </c>
      <c r="C55" s="29">
        <v>0</v>
      </c>
      <c r="D55" s="29">
        <v>0</v>
      </c>
      <c r="E55" s="29">
        <v>0</v>
      </c>
      <c r="F55" s="29">
        <v>0</v>
      </c>
      <c r="G55" s="29">
        <v>337.45398499999999</v>
      </c>
      <c r="H55" s="29">
        <v>66.485304240813704</v>
      </c>
      <c r="I55" s="29">
        <v>129.670445</v>
      </c>
      <c r="J55" s="29">
        <v>25.547717229851948</v>
      </c>
      <c r="K55" s="30">
        <v>467.12442999999996</v>
      </c>
      <c r="L55" s="30">
        <v>92.033021470665645</v>
      </c>
      <c r="M55" s="29">
        <v>40.437336999999999</v>
      </c>
      <c r="N55" s="29">
        <v>7.9669785293343409</v>
      </c>
      <c r="O55" s="29">
        <v>0</v>
      </c>
      <c r="P55" s="29">
        <v>0</v>
      </c>
    </row>
    <row r="56" spans="1:16" ht="20.25" x14ac:dyDescent="0.25">
      <c r="A56" s="45" t="s">
        <v>83</v>
      </c>
      <c r="B56" s="29">
        <v>687.66499999999996</v>
      </c>
      <c r="C56" s="29"/>
      <c r="D56" s="29"/>
      <c r="E56" s="29"/>
      <c r="F56" s="29"/>
      <c r="G56" s="29">
        <v>61.956000000000003</v>
      </c>
      <c r="H56" s="29">
        <v>32.671011833196232</v>
      </c>
      <c r="I56" s="29">
        <v>64.628</v>
      </c>
      <c r="J56" s="29">
        <v>34.080026999093</v>
      </c>
      <c r="K56" s="30">
        <v>126.584</v>
      </c>
      <c r="L56" s="30">
        <v>66.75103883228924</v>
      </c>
      <c r="M56" s="29">
        <v>63.052</v>
      </c>
      <c r="N56" s="29">
        <v>33.248961167710775</v>
      </c>
      <c r="O56" s="29"/>
      <c r="P56" s="29"/>
    </row>
    <row r="57" spans="1:16" ht="20.25" x14ac:dyDescent="0.25">
      <c r="A57" s="45" t="s">
        <v>74</v>
      </c>
      <c r="B57" s="29">
        <v>214.714</v>
      </c>
      <c r="C57" s="29">
        <v>3.5305240000000002</v>
      </c>
      <c r="D57" s="29">
        <v>4.2934909526527054</v>
      </c>
      <c r="E57" s="29">
        <v>6.0226449999999998</v>
      </c>
      <c r="F57" s="29">
        <v>7.3241739239101769</v>
      </c>
      <c r="G57" s="29">
        <v>28.919498999999998</v>
      </c>
      <c r="H57" s="29">
        <v>35.169172426458211</v>
      </c>
      <c r="I57" s="29">
        <v>24.912248000000002</v>
      </c>
      <c r="J57" s="29">
        <v>30.29593097178789</v>
      </c>
      <c r="K57" s="30">
        <v>63.384916000000004</v>
      </c>
      <c r="L57" s="30">
        <v>77.082768274808984</v>
      </c>
      <c r="M57" s="29">
        <v>18.144767000000002</v>
      </c>
      <c r="N57" s="29">
        <v>22.065957617761946</v>
      </c>
      <c r="O57" s="29">
        <v>0.7</v>
      </c>
      <c r="P57" s="29">
        <v>0.8512741074290654</v>
      </c>
    </row>
    <row r="58" spans="1:16" ht="20.25" x14ac:dyDescent="0.25">
      <c r="A58" s="45" t="s">
        <v>63</v>
      </c>
      <c r="B58" s="29">
        <v>889.40100000000007</v>
      </c>
      <c r="C58" s="29"/>
      <c r="D58" s="29"/>
      <c r="E58" s="29"/>
      <c r="F58" s="29"/>
      <c r="G58" s="29">
        <v>192.733778</v>
      </c>
      <c r="H58" s="29">
        <v>43.064573632221666</v>
      </c>
      <c r="I58" s="29">
        <v>200.343977</v>
      </c>
      <c r="J58" s="29">
        <v>44.76500195668153</v>
      </c>
      <c r="K58" s="30">
        <v>393.07775500000002</v>
      </c>
      <c r="L58" s="30">
        <v>87.829575588903197</v>
      </c>
      <c r="M58" s="29">
        <v>54.468248000000003</v>
      </c>
      <c r="N58" s="29">
        <v>12.170424411096796</v>
      </c>
      <c r="O58" s="29"/>
      <c r="P58" s="29"/>
    </row>
    <row r="59" spans="1:16" ht="20.25" x14ac:dyDescent="0.25">
      <c r="A59" s="46" t="s">
        <v>43</v>
      </c>
      <c r="B59" s="25">
        <v>5938.1647999999996</v>
      </c>
      <c r="C59" s="25"/>
      <c r="D59" s="26"/>
      <c r="E59" s="25"/>
      <c r="F59" s="27"/>
      <c r="G59" s="25">
        <v>2230.7430969999996</v>
      </c>
      <c r="H59" s="25">
        <v>64.737949261460514</v>
      </c>
      <c r="I59" s="25">
        <v>892.43648900000005</v>
      </c>
      <c r="J59" s="25">
        <v>25.899220856787874</v>
      </c>
      <c r="K59" s="28">
        <v>3123.1795859999997</v>
      </c>
      <c r="L59" s="28">
        <v>90.637170118248406</v>
      </c>
      <c r="M59" s="25">
        <v>312.57226300000002</v>
      </c>
      <c r="N59" s="25">
        <v>9.0710971289554543</v>
      </c>
      <c r="O59" s="25">
        <v>10.05254</v>
      </c>
      <c r="P59" s="25">
        <v>0.29173275279614258</v>
      </c>
    </row>
    <row r="60" spans="1:16" ht="20.25" x14ac:dyDescent="0.25">
      <c r="A60" s="45" t="s">
        <v>44</v>
      </c>
      <c r="B60" s="29">
        <v>1544.4307999999999</v>
      </c>
      <c r="C60" s="29">
        <v>0</v>
      </c>
      <c r="D60" s="29">
        <v>0</v>
      </c>
      <c r="E60" s="29">
        <v>0</v>
      </c>
      <c r="F60" s="29">
        <v>0</v>
      </c>
      <c r="G60" s="29">
        <v>647.95219999999995</v>
      </c>
      <c r="H60" s="29">
        <v>72.087369216578338</v>
      </c>
      <c r="I60" s="29">
        <v>206.86420000000001</v>
      </c>
      <c r="J60" s="29">
        <v>23.014500086722609</v>
      </c>
      <c r="K60" s="30">
        <v>854.81639999999993</v>
      </c>
      <c r="L60" s="30">
        <v>95.10186930330093</v>
      </c>
      <c r="M60" s="29">
        <v>38.677</v>
      </c>
      <c r="N60" s="29">
        <v>4.3029766380754637</v>
      </c>
      <c r="O60" s="29">
        <v>5.3494999999999999</v>
      </c>
      <c r="P60" s="29">
        <v>0.59515405862359261</v>
      </c>
    </row>
    <row r="61" spans="1:16" ht="20.25" x14ac:dyDescent="0.25">
      <c r="A61" s="45" t="s">
        <v>84</v>
      </c>
      <c r="B61" s="29">
        <v>36.308</v>
      </c>
      <c r="C61" s="29"/>
      <c r="D61" s="29"/>
      <c r="E61" s="29"/>
      <c r="F61" s="29"/>
      <c r="G61" s="29">
        <v>8.08</v>
      </c>
      <c r="H61" s="29">
        <v>93.554326870250009</v>
      </c>
      <c r="I61" s="29">
        <v>0.55669299999999999</v>
      </c>
      <c r="J61" s="29">
        <v>6.4456731297500101</v>
      </c>
      <c r="K61" s="30">
        <v>8.6366929999999993</v>
      </c>
      <c r="L61" s="30">
        <v>100</v>
      </c>
      <c r="M61" s="29"/>
      <c r="N61" s="29"/>
      <c r="O61" s="29"/>
      <c r="P61" s="29"/>
    </row>
    <row r="62" spans="1:16" ht="20.25" x14ac:dyDescent="0.25">
      <c r="A62" s="45" t="s">
        <v>67</v>
      </c>
      <c r="B62" s="29">
        <v>112.104</v>
      </c>
      <c r="C62" s="29"/>
      <c r="D62" s="29"/>
      <c r="E62" s="29"/>
      <c r="F62" s="29"/>
      <c r="G62" s="29">
        <v>36.008431999999999</v>
      </c>
      <c r="H62" s="29">
        <v>58.253947212474969</v>
      </c>
      <c r="I62" s="29">
        <v>15.90863</v>
      </c>
      <c r="J62" s="29">
        <v>25.736763329288976</v>
      </c>
      <c r="K62" s="30">
        <v>51.917062000000001</v>
      </c>
      <c r="L62" s="30">
        <v>83.990710541763946</v>
      </c>
      <c r="M62" s="29">
        <v>9.8957999999999995</v>
      </c>
      <c r="N62" s="29">
        <v>16.009289458236054</v>
      </c>
      <c r="O62" s="29"/>
      <c r="P62" s="29"/>
    </row>
    <row r="63" spans="1:16" ht="20.25" x14ac:dyDescent="0.25">
      <c r="A63" s="45" t="s">
        <v>68</v>
      </c>
      <c r="B63" s="29">
        <v>770.30399999999997</v>
      </c>
      <c r="C63" s="29"/>
      <c r="D63" s="29"/>
      <c r="E63" s="29"/>
      <c r="F63" s="29"/>
      <c r="G63" s="29">
        <v>249.377813</v>
      </c>
      <c r="H63" s="29">
        <v>51.886656294279568</v>
      </c>
      <c r="I63" s="29">
        <v>107.170052</v>
      </c>
      <c r="J63" s="29">
        <v>22.298277405953783</v>
      </c>
      <c r="K63" s="30">
        <v>356.547865</v>
      </c>
      <c r="L63" s="30">
        <v>74.184933700233344</v>
      </c>
      <c r="M63" s="29">
        <v>124.07245399999999</v>
      </c>
      <c r="N63" s="29">
        <v>25.815066299766652</v>
      </c>
      <c r="O63" s="29"/>
      <c r="P63" s="29"/>
    </row>
    <row r="64" spans="1:16" ht="20.25" x14ac:dyDescent="0.25">
      <c r="A64" s="45" t="s">
        <v>88</v>
      </c>
      <c r="B64" s="29">
        <v>1.6479999999999999</v>
      </c>
      <c r="C64" s="29"/>
      <c r="D64" s="29"/>
      <c r="E64" s="29"/>
      <c r="F64" s="29"/>
      <c r="G64" s="29">
        <v>0.52</v>
      </c>
      <c r="H64" s="29">
        <v>100</v>
      </c>
      <c r="I64" s="29"/>
      <c r="J64" s="29"/>
      <c r="K64" s="30">
        <v>0.52</v>
      </c>
      <c r="L64" s="30">
        <v>100</v>
      </c>
      <c r="M64" s="29"/>
      <c r="N64" s="29"/>
      <c r="O64" s="29"/>
      <c r="P64" s="29"/>
    </row>
    <row r="65" spans="1:16" ht="20.25" x14ac:dyDescent="0.25">
      <c r="A65" s="45" t="s">
        <v>55</v>
      </c>
      <c r="B65" s="29">
        <v>938.62</v>
      </c>
      <c r="C65" s="29">
        <v>0</v>
      </c>
      <c r="D65" s="29">
        <v>0</v>
      </c>
      <c r="E65" s="29">
        <v>0</v>
      </c>
      <c r="F65" s="29">
        <v>0</v>
      </c>
      <c r="G65" s="29">
        <v>158.23778100000001</v>
      </c>
      <c r="H65" s="29">
        <v>49.629053845170397</v>
      </c>
      <c r="I65" s="29">
        <v>129.33091399999998</v>
      </c>
      <c r="J65" s="29">
        <v>40.562821686377795</v>
      </c>
      <c r="K65" s="30">
        <v>287.56869499999999</v>
      </c>
      <c r="L65" s="30">
        <v>90.191875531548192</v>
      </c>
      <c r="M65" s="29">
        <v>31.272324000000001</v>
      </c>
      <c r="N65" s="29">
        <v>9.8081244684517817</v>
      </c>
      <c r="O65" s="29">
        <v>0</v>
      </c>
      <c r="P65" s="29">
        <v>0</v>
      </c>
    </row>
    <row r="66" spans="1:16" ht="20.25" x14ac:dyDescent="0.25">
      <c r="A66" s="45" t="s">
        <v>85</v>
      </c>
      <c r="B66" s="29">
        <v>514.95500000000004</v>
      </c>
      <c r="C66" s="29"/>
      <c r="D66" s="29"/>
      <c r="E66" s="29"/>
      <c r="F66" s="29"/>
      <c r="G66" s="29">
        <v>150.656871</v>
      </c>
      <c r="H66" s="29">
        <v>67.066644457260736</v>
      </c>
      <c r="I66" s="29">
        <v>48.676000000000002</v>
      </c>
      <c r="J66" s="29">
        <v>21.668683040693338</v>
      </c>
      <c r="K66" s="30">
        <v>199.33287100000001</v>
      </c>
      <c r="L66" s="30">
        <v>88.735327497954074</v>
      </c>
      <c r="M66" s="29">
        <v>24.404685000000001</v>
      </c>
      <c r="N66" s="29">
        <v>10.864027117531496</v>
      </c>
      <c r="O66" s="29">
        <v>0.9</v>
      </c>
      <c r="P66" s="29">
        <v>0.40064538451442194</v>
      </c>
    </row>
    <row r="67" spans="1:16" ht="20.25" x14ac:dyDescent="0.25">
      <c r="A67" s="45" t="s">
        <v>45</v>
      </c>
      <c r="B67" s="29">
        <v>2019.7949999999998</v>
      </c>
      <c r="C67" s="29">
        <v>0</v>
      </c>
      <c r="D67" s="29">
        <v>0</v>
      </c>
      <c r="E67" s="29">
        <v>0</v>
      </c>
      <c r="F67" s="29">
        <v>0</v>
      </c>
      <c r="G67" s="29">
        <v>979.90999999999985</v>
      </c>
      <c r="H67" s="29">
        <v>67.491886316914915</v>
      </c>
      <c r="I67" s="29">
        <v>383.92999999999995</v>
      </c>
      <c r="J67" s="29">
        <v>26.443407979970758</v>
      </c>
      <c r="K67" s="30">
        <v>1363.8399999999997</v>
      </c>
      <c r="L67" s="30">
        <v>93.935294296885672</v>
      </c>
      <c r="M67" s="29">
        <v>84.25</v>
      </c>
      <c r="N67" s="29">
        <v>5.8027690524640869</v>
      </c>
      <c r="O67" s="29">
        <v>3.8030400000000002</v>
      </c>
      <c r="P67" s="29">
        <v>0.26193665065024357</v>
      </c>
    </row>
    <row r="68" spans="1:16" ht="20.25" x14ac:dyDescent="0.25">
      <c r="A68" s="46" t="s">
        <v>56</v>
      </c>
      <c r="B68" s="25">
        <v>574.21900000000005</v>
      </c>
      <c r="C68" s="25">
        <v>0</v>
      </c>
      <c r="D68" s="26">
        <v>0</v>
      </c>
      <c r="E68" s="25">
        <v>0</v>
      </c>
      <c r="F68" s="27">
        <v>0</v>
      </c>
      <c r="G68" s="25">
        <v>189.45931499999998</v>
      </c>
      <c r="H68" s="25">
        <v>41.399475001801591</v>
      </c>
      <c r="I68" s="25">
        <v>207.07521400000005</v>
      </c>
      <c r="J68" s="25">
        <v>45.248792045330248</v>
      </c>
      <c r="K68" s="28">
        <v>396.53452900000002</v>
      </c>
      <c r="L68" s="28">
        <v>86.648267047131839</v>
      </c>
      <c r="M68" s="25">
        <v>60.602470000000004</v>
      </c>
      <c r="N68" s="25">
        <v>13.242476052509907</v>
      </c>
      <c r="O68" s="25">
        <v>0.5</v>
      </c>
      <c r="P68" s="25">
        <v>0.10925690035826847</v>
      </c>
    </row>
    <row r="69" spans="1:16" ht="20.25" x14ac:dyDescent="0.25">
      <c r="A69" s="45" t="s">
        <v>64</v>
      </c>
      <c r="B69" s="29">
        <v>42.889000000000003</v>
      </c>
      <c r="C69" s="29"/>
      <c r="D69" s="29"/>
      <c r="E69" s="29"/>
      <c r="F69" s="29"/>
      <c r="G69" s="29">
        <v>13.340999999999999</v>
      </c>
      <c r="H69" s="29">
        <v>37.380218548613058</v>
      </c>
      <c r="I69" s="29">
        <v>14.715</v>
      </c>
      <c r="J69" s="29">
        <v>41.230036424768848</v>
      </c>
      <c r="K69" s="30">
        <v>28.055999999999997</v>
      </c>
      <c r="L69" s="30">
        <v>78.610254973381899</v>
      </c>
      <c r="M69" s="29">
        <v>7.6340000000000003</v>
      </c>
      <c r="N69" s="29">
        <v>21.389745026618105</v>
      </c>
      <c r="O69" s="29"/>
      <c r="P69" s="29"/>
    </row>
    <row r="70" spans="1:16" ht="20.25" x14ac:dyDescent="0.25">
      <c r="A70" s="45" t="s">
        <v>69</v>
      </c>
      <c r="B70" s="29">
        <v>366.41399999999999</v>
      </c>
      <c r="C70" s="29"/>
      <c r="D70" s="29"/>
      <c r="E70" s="29"/>
      <c r="F70" s="29"/>
      <c r="G70" s="29">
        <v>92.497759000000002</v>
      </c>
      <c r="H70" s="29">
        <v>30.425053892299083</v>
      </c>
      <c r="I70" s="29">
        <v>165.20606000000001</v>
      </c>
      <c r="J70" s="29">
        <v>54.340811422624803</v>
      </c>
      <c r="K70" s="30">
        <v>257.70381900000001</v>
      </c>
      <c r="L70" s="30">
        <v>84.765865314923872</v>
      </c>
      <c r="M70" s="29">
        <v>46.314571000000001</v>
      </c>
      <c r="N70" s="29">
        <v>15.234134685076123</v>
      </c>
      <c r="O70" s="29"/>
      <c r="P70" s="29"/>
    </row>
    <row r="71" spans="1:16" ht="20.25" x14ac:dyDescent="0.25">
      <c r="A71" s="45" t="s">
        <v>70</v>
      </c>
      <c r="B71" s="29">
        <v>12.2</v>
      </c>
      <c r="C71" s="29"/>
      <c r="D71" s="29"/>
      <c r="E71" s="29"/>
      <c r="F71" s="29"/>
      <c r="G71" s="29">
        <v>5.6214360000000001</v>
      </c>
      <c r="H71" s="29">
        <v>66.279295157093671</v>
      </c>
      <c r="I71" s="29">
        <v>2.86</v>
      </c>
      <c r="J71" s="29">
        <v>33.720704842906315</v>
      </c>
      <c r="K71" s="30">
        <v>8.4814360000000004</v>
      </c>
      <c r="L71" s="30">
        <v>100</v>
      </c>
      <c r="M71" s="29"/>
      <c r="N71" s="29"/>
      <c r="O71" s="29"/>
      <c r="P71" s="29"/>
    </row>
    <row r="72" spans="1:16" ht="20.25" x14ac:dyDescent="0.25">
      <c r="A72" s="45" t="s">
        <v>75</v>
      </c>
      <c r="B72" s="29">
        <v>43.112000000000002</v>
      </c>
      <c r="C72" s="29"/>
      <c r="D72" s="29"/>
      <c r="E72" s="29"/>
      <c r="F72" s="29"/>
      <c r="G72" s="29">
        <v>0.84711999999999998</v>
      </c>
      <c r="H72" s="29">
        <v>5.8396398714110083</v>
      </c>
      <c r="I72" s="29">
        <v>10.881154</v>
      </c>
      <c r="J72" s="29">
        <v>75.009468251680261</v>
      </c>
      <c r="K72" s="30">
        <v>11.728274000000001</v>
      </c>
      <c r="L72" s="30">
        <v>80.84910812309127</v>
      </c>
      <c r="M72" s="29">
        <v>2.7780999999999998</v>
      </c>
      <c r="N72" s="29">
        <v>19.150891876908727</v>
      </c>
      <c r="O72" s="29"/>
      <c r="P72" s="29"/>
    </row>
    <row r="73" spans="1:16" ht="20.25" x14ac:dyDescent="0.25">
      <c r="A73" s="45" t="s">
        <v>57</v>
      </c>
      <c r="B73" s="29">
        <v>109.604</v>
      </c>
      <c r="C73" s="29"/>
      <c r="D73" s="29"/>
      <c r="E73" s="29"/>
      <c r="F73" s="29"/>
      <c r="G73" s="29">
        <v>77.152000000000001</v>
      </c>
      <c r="H73" s="29">
        <v>81.263272284026172</v>
      </c>
      <c r="I73" s="29">
        <v>13.413</v>
      </c>
      <c r="J73" s="29">
        <v>14.127751336914701</v>
      </c>
      <c r="K73" s="30">
        <v>90.564999999999998</v>
      </c>
      <c r="L73" s="30">
        <v>95.391023620940871</v>
      </c>
      <c r="M73" s="29">
        <v>3.8757990000000002</v>
      </c>
      <c r="N73" s="29">
        <v>4.0823324016896052</v>
      </c>
      <c r="O73" s="29">
        <v>0.5</v>
      </c>
      <c r="P73" s="29">
        <v>0.52664397736951851</v>
      </c>
    </row>
    <row r="74" spans="1:16" ht="20.25" x14ac:dyDescent="0.25">
      <c r="A74" s="46" t="s">
        <v>71</v>
      </c>
      <c r="B74" s="25">
        <v>211.55499999999998</v>
      </c>
      <c r="C74" s="25">
        <v>0</v>
      </c>
      <c r="D74" s="26">
        <v>0</v>
      </c>
      <c r="E74" s="25">
        <v>0</v>
      </c>
      <c r="F74" s="27">
        <v>0</v>
      </c>
      <c r="G74" s="25">
        <v>66.251580000000004</v>
      </c>
      <c r="H74" s="25">
        <v>51.375956834989282</v>
      </c>
      <c r="I74" s="25">
        <v>22.782360999999995</v>
      </c>
      <c r="J74" s="25">
        <v>17.666983871707558</v>
      </c>
      <c r="K74" s="28">
        <v>89.033940999999999</v>
      </c>
      <c r="L74" s="28">
        <v>69.042940706696839</v>
      </c>
      <c r="M74" s="25">
        <v>29.131129999999999</v>
      </c>
      <c r="N74" s="25">
        <v>22.590248827793406</v>
      </c>
      <c r="O74" s="25">
        <v>10.789374</v>
      </c>
      <c r="P74" s="25">
        <v>8.3668104655097366</v>
      </c>
    </row>
    <row r="75" spans="1:16" ht="20.25" x14ac:dyDescent="0.25">
      <c r="A75" s="45" t="s">
        <v>72</v>
      </c>
      <c r="B75" s="29">
        <v>7.5270000000000001</v>
      </c>
      <c r="C75" s="29"/>
      <c r="D75" s="29"/>
      <c r="E75" s="29"/>
      <c r="F75" s="29"/>
      <c r="G75" s="29"/>
      <c r="H75" s="29"/>
      <c r="I75" s="29">
        <v>0.64700000000000002</v>
      </c>
      <c r="J75" s="29">
        <v>52.601626016260163</v>
      </c>
      <c r="K75" s="30">
        <v>0.64700000000000002</v>
      </c>
      <c r="L75" s="30">
        <v>52.601626016260163</v>
      </c>
      <c r="M75" s="29">
        <v>0.43359999999999999</v>
      </c>
      <c r="N75" s="29">
        <v>35.252032520325201</v>
      </c>
      <c r="O75" s="29">
        <v>0.14940000000000001</v>
      </c>
      <c r="P75" s="29">
        <v>12.146341463414636</v>
      </c>
    </row>
    <row r="76" spans="1:16" ht="20.25" x14ac:dyDescent="0.25">
      <c r="A76" s="45" t="s">
        <v>76</v>
      </c>
      <c r="B76" s="29">
        <v>200.79599999999999</v>
      </c>
      <c r="C76" s="29">
        <v>0</v>
      </c>
      <c r="D76" s="29">
        <v>0</v>
      </c>
      <c r="E76" s="29">
        <v>0</v>
      </c>
      <c r="F76" s="29">
        <v>0</v>
      </c>
      <c r="G76" s="29">
        <v>65.661580000000001</v>
      </c>
      <c r="H76" s="29">
        <v>51.937703939667969</v>
      </c>
      <c r="I76" s="29">
        <v>21.474640999999998</v>
      </c>
      <c r="J76" s="29">
        <v>16.98624289072324</v>
      </c>
      <c r="K76" s="30">
        <v>87.136221000000006</v>
      </c>
      <c r="L76" s="30">
        <v>68.923946830391216</v>
      </c>
      <c r="M76" s="29">
        <v>28.69753</v>
      </c>
      <c r="N76" s="29">
        <v>22.6994814462238</v>
      </c>
      <c r="O76" s="29">
        <v>10.589974</v>
      </c>
      <c r="P76" s="29">
        <v>8.3765717233849895</v>
      </c>
    </row>
    <row r="77" spans="1:16" ht="20.25" x14ac:dyDescent="0.25">
      <c r="A77" s="45" t="s">
        <v>86</v>
      </c>
      <c r="B77" s="29">
        <v>0.89300000000000002</v>
      </c>
      <c r="C77" s="29"/>
      <c r="D77" s="29"/>
      <c r="E77" s="29"/>
      <c r="F77" s="29"/>
      <c r="G77" s="29"/>
      <c r="H77" s="29"/>
      <c r="I77" s="29">
        <v>0.21840000000000001</v>
      </c>
      <c r="J77" s="29">
        <v>100</v>
      </c>
      <c r="K77" s="30">
        <v>0.21840000000000001</v>
      </c>
      <c r="L77" s="30">
        <v>100</v>
      </c>
      <c r="M77" s="29"/>
      <c r="N77" s="29"/>
      <c r="O77" s="29"/>
      <c r="P77" s="29"/>
    </row>
    <row r="78" spans="1:16" ht="20.25" x14ac:dyDescent="0.25">
      <c r="A78" s="45" t="s">
        <v>87</v>
      </c>
      <c r="B78" s="29">
        <v>2.339</v>
      </c>
      <c r="C78" s="29"/>
      <c r="D78" s="29"/>
      <c r="E78" s="29"/>
      <c r="F78" s="29"/>
      <c r="G78" s="29">
        <v>0.59</v>
      </c>
      <c r="H78" s="29">
        <v>54.512528642176065</v>
      </c>
      <c r="I78" s="29">
        <v>0.44231999999999999</v>
      </c>
      <c r="J78" s="29">
        <v>40.867765540690371</v>
      </c>
      <c r="K78" s="30">
        <v>1.0323199999999999</v>
      </c>
      <c r="L78" s="30">
        <v>95.380294182866436</v>
      </c>
      <c r="M78" s="29"/>
      <c r="N78" s="29"/>
      <c r="O78" s="29">
        <v>0.05</v>
      </c>
      <c r="P78" s="29">
        <v>4.619705817133565</v>
      </c>
    </row>
    <row r="79" spans="1:16" x14ac:dyDescent="0.25">
      <c r="A79" s="4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</row>
    <row r="80" spans="1:16" x14ac:dyDescent="0.25">
      <c r="A80" s="4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</row>
    <row r="81" spans="1:16" x14ac:dyDescent="0.25">
      <c r="A81" s="4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</row>
    <row r="82" spans="1:16" x14ac:dyDescent="0.25">
      <c r="A82" s="4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</row>
    <row r="83" spans="1:16" x14ac:dyDescent="0.25">
      <c r="A83" s="4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</row>
    <row r="84" spans="1:16" x14ac:dyDescent="0.25">
      <c r="A84" s="4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</row>
    <row r="85" spans="1:16" x14ac:dyDescent="0.25">
      <c r="A85" s="4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</row>
    <row r="86" spans="1:16" x14ac:dyDescent="0.25">
      <c r="A86" s="4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</row>
    <row r="87" spans="1:16" x14ac:dyDescent="0.25">
      <c r="A87" s="4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</row>
    <row r="88" spans="1:16" x14ac:dyDescent="0.25">
      <c r="A88" s="4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</row>
    <row r="89" spans="1:16" x14ac:dyDescent="0.25">
      <c r="A89" s="4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</row>
    <row r="90" spans="1:16" x14ac:dyDescent="0.25">
      <c r="A90" s="4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</row>
    <row r="91" spans="1:16" x14ac:dyDescent="0.25">
      <c r="A91" s="4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</row>
    <row r="92" spans="1:16" x14ac:dyDescent="0.25">
      <c r="A92" s="4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</row>
    <row r="93" spans="1:16" x14ac:dyDescent="0.25">
      <c r="A93" s="4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</row>
    <row r="94" spans="1:16" x14ac:dyDescent="0.25">
      <c r="A94" s="4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</row>
    <row r="95" spans="1:16" x14ac:dyDescent="0.25">
      <c r="A95" s="4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</row>
    <row r="96" spans="1:16" x14ac:dyDescent="0.25">
      <c r="A96" s="4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</row>
    <row r="97" spans="1:16" x14ac:dyDescent="0.25">
      <c r="A97" s="4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</row>
    <row r="98" spans="1:16" x14ac:dyDescent="0.25">
      <c r="A98" s="4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</row>
    <row r="99" spans="1:16" x14ac:dyDescent="0.25">
      <c r="A99" s="4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</row>
    <row r="100" spans="1:16" x14ac:dyDescent="0.25">
      <c r="A100" s="4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</row>
    <row r="101" spans="1:16" x14ac:dyDescent="0.25">
      <c r="A101" s="4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</row>
    <row r="102" spans="1:16" x14ac:dyDescent="0.25">
      <c r="A102" s="4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</row>
    <row r="103" spans="1:16" x14ac:dyDescent="0.25">
      <c r="A103" s="4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</row>
    <row r="104" spans="1:16" x14ac:dyDescent="0.25">
      <c r="A104" s="4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</row>
    <row r="105" spans="1:16" x14ac:dyDescent="0.25">
      <c r="A105" s="4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</row>
    <row r="106" spans="1:16" x14ac:dyDescent="0.25">
      <c r="A106" s="4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</row>
    <row r="107" spans="1:16" x14ac:dyDescent="0.25">
      <c r="A107" s="4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</row>
    <row r="108" spans="1:16" x14ac:dyDescent="0.25">
      <c r="A108" s="4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</row>
    <row r="109" spans="1:16" x14ac:dyDescent="0.25">
      <c r="A109" s="4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</row>
    <row r="110" spans="1:16" x14ac:dyDescent="0.25">
      <c r="A110" s="4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</row>
    <row r="111" spans="1:16" x14ac:dyDescent="0.25">
      <c r="A111" s="4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</row>
    <row r="112" spans="1:16" x14ac:dyDescent="0.25">
      <c r="A112" s="4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</row>
    <row r="113" spans="1:16" x14ac:dyDescent="0.25">
      <c r="A113" s="4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</row>
    <row r="114" spans="1:16" x14ac:dyDescent="0.25">
      <c r="A114" s="4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</row>
    <row r="115" spans="1:16" x14ac:dyDescent="0.25">
      <c r="A115" s="4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</row>
    <row r="116" spans="1:16" x14ac:dyDescent="0.25">
      <c r="A116" s="4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x14ac:dyDescent="0.25">
      <c r="A117" s="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</row>
    <row r="118" spans="1:16" x14ac:dyDescent="0.25">
      <c r="A118" s="4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</row>
    <row r="119" spans="1:16" x14ac:dyDescent="0.25">
      <c r="A119" s="4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</row>
    <row r="120" spans="1:16" x14ac:dyDescent="0.25">
      <c r="A120" s="4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</row>
    <row r="121" spans="1:16" x14ac:dyDescent="0.25">
      <c r="A121" s="4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</row>
    <row r="122" spans="1:16" x14ac:dyDescent="0.25">
      <c r="A122" s="4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</row>
    <row r="123" spans="1:16" x14ac:dyDescent="0.25">
      <c r="A123" s="4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</row>
    <row r="124" spans="1:16" x14ac:dyDescent="0.25">
      <c r="A124" s="4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</row>
    <row r="125" spans="1:16" x14ac:dyDescent="0.25">
      <c r="A125" s="4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</row>
    <row r="126" spans="1:16" x14ac:dyDescent="0.25">
      <c r="A126" s="4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</row>
    <row r="127" spans="1:16" x14ac:dyDescent="0.25">
      <c r="A127" s="4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</row>
    <row r="128" spans="1:16" x14ac:dyDescent="0.25">
      <c r="A128" s="4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</row>
    <row r="129" spans="1:16" x14ac:dyDescent="0.25">
      <c r="A129" s="4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</row>
    <row r="130" spans="1:16" x14ac:dyDescent="0.25">
      <c r="A130" s="4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</row>
    <row r="131" spans="1:16" x14ac:dyDescent="0.25">
      <c r="A131" s="4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</row>
    <row r="132" spans="1:16" x14ac:dyDescent="0.25">
      <c r="A132" s="4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</row>
    <row r="133" spans="1:16" x14ac:dyDescent="0.25">
      <c r="A133" s="4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</row>
    <row r="134" spans="1:16" x14ac:dyDescent="0.25">
      <c r="A134" s="4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</row>
    <row r="135" spans="1:16" x14ac:dyDescent="0.25">
      <c r="A135" s="4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</row>
    <row r="136" spans="1:16" x14ac:dyDescent="0.25">
      <c r="A136" s="4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</row>
    <row r="137" spans="1:16" x14ac:dyDescent="0.25">
      <c r="A137" s="4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</row>
    <row r="138" spans="1:16" x14ac:dyDescent="0.25">
      <c r="A138" s="4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</row>
    <row r="139" spans="1:16" x14ac:dyDescent="0.25">
      <c r="A139" s="4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</row>
    <row r="140" spans="1:16" x14ac:dyDescent="0.25">
      <c r="A140" s="4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</row>
    <row r="141" spans="1:16" x14ac:dyDescent="0.25">
      <c r="A141" s="4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</row>
    <row r="142" spans="1:16" x14ac:dyDescent="0.25">
      <c r="A142" s="4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</row>
    <row r="143" spans="1:16" x14ac:dyDescent="0.25">
      <c r="A143" s="4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</row>
    <row r="144" spans="1:16" x14ac:dyDescent="0.25">
      <c r="A144" s="4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</row>
    <row r="145" spans="1:16" x14ac:dyDescent="0.25">
      <c r="A145" s="4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</row>
    <row r="146" spans="1:16" x14ac:dyDescent="0.25">
      <c r="A146" s="4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</row>
    <row r="147" spans="1:16" x14ac:dyDescent="0.25">
      <c r="A147" s="4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</row>
    <row r="148" spans="1:16" x14ac:dyDescent="0.25">
      <c r="A148" s="4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</row>
    <row r="149" spans="1:16" x14ac:dyDescent="0.25">
      <c r="A149" s="4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</row>
    <row r="150" spans="1:16" x14ac:dyDescent="0.25">
      <c r="A150" s="4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</row>
    <row r="151" spans="1:16" x14ac:dyDescent="0.25">
      <c r="A151" s="4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</row>
    <row r="152" spans="1:16" x14ac:dyDescent="0.25">
      <c r="A152" s="4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</row>
    <row r="153" spans="1:16" x14ac:dyDescent="0.25">
      <c r="A153" s="4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</row>
    <row r="154" spans="1:16" x14ac:dyDescent="0.25">
      <c r="A154" s="4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</row>
    <row r="155" spans="1:16" x14ac:dyDescent="0.25">
      <c r="A155" s="4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</row>
    <row r="156" spans="1:16" x14ac:dyDescent="0.25">
      <c r="A156" s="4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</row>
    <row r="157" spans="1:16" x14ac:dyDescent="0.25">
      <c r="A157" s="4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</row>
    <row r="158" spans="1:16" x14ac:dyDescent="0.25">
      <c r="A158" s="4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</row>
    <row r="159" spans="1:16" x14ac:dyDescent="0.25">
      <c r="A159" s="4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</row>
    <row r="160" spans="1:16" x14ac:dyDescent="0.25">
      <c r="A160" s="4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</row>
    <row r="161" spans="1:16" x14ac:dyDescent="0.25">
      <c r="A161" s="4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</row>
    <row r="162" spans="1:16" x14ac:dyDescent="0.25">
      <c r="A162" s="4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</row>
    <row r="163" spans="1:16" x14ac:dyDescent="0.25">
      <c r="A163" s="4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</row>
    <row r="164" spans="1:16" x14ac:dyDescent="0.25">
      <c r="A164" s="4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</row>
    <row r="165" spans="1:16" x14ac:dyDescent="0.25">
      <c r="A165" s="4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</row>
    <row r="166" spans="1:16" x14ac:dyDescent="0.25">
      <c r="A166" s="4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</row>
    <row r="167" spans="1:16" x14ac:dyDescent="0.25">
      <c r="A167" s="4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</row>
    <row r="168" spans="1:16" x14ac:dyDescent="0.25">
      <c r="A168" s="4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</row>
    <row r="169" spans="1:16" x14ac:dyDescent="0.25">
      <c r="A169" s="4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</row>
    <row r="170" spans="1:16" x14ac:dyDescent="0.25">
      <c r="A170" s="4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</row>
    <row r="171" spans="1:16" x14ac:dyDescent="0.25">
      <c r="A171" s="4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</row>
    <row r="172" spans="1:16" x14ac:dyDescent="0.25">
      <c r="A172" s="4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</row>
    <row r="173" spans="1:16" x14ac:dyDescent="0.25">
      <c r="A173" s="4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</row>
    <row r="174" spans="1:16" x14ac:dyDescent="0.25">
      <c r="A174" s="4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</row>
    <row r="175" spans="1:16" x14ac:dyDescent="0.25">
      <c r="A175" s="4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</row>
    <row r="176" spans="1:16" x14ac:dyDescent="0.25">
      <c r="A176" s="4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</row>
    <row r="177" spans="1:16" x14ac:dyDescent="0.25">
      <c r="A177" s="4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</row>
    <row r="178" spans="1:16" x14ac:dyDescent="0.25">
      <c r="A178" s="4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</row>
    <row r="179" spans="1:16" x14ac:dyDescent="0.25">
      <c r="A179" s="4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</row>
    <row r="180" spans="1:16" x14ac:dyDescent="0.25">
      <c r="A180" s="4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</row>
    <row r="181" spans="1:16" x14ac:dyDescent="0.25">
      <c r="A181" s="4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</row>
    <row r="182" spans="1:16" x14ac:dyDescent="0.25">
      <c r="A182" s="4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</row>
    <row r="183" spans="1:16" x14ac:dyDescent="0.25">
      <c r="A183" s="4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</row>
    <row r="184" spans="1:16" x14ac:dyDescent="0.25">
      <c r="A184" s="4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</row>
    <row r="185" spans="1:16" x14ac:dyDescent="0.25">
      <c r="A185" s="4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</row>
    <row r="186" spans="1:16" x14ac:dyDescent="0.25">
      <c r="A186" s="4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</row>
    <row r="187" spans="1:16" x14ac:dyDescent="0.25">
      <c r="A187" s="4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</row>
    <row r="188" spans="1:16" x14ac:dyDescent="0.25">
      <c r="A188" s="4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</row>
    <row r="189" spans="1:16" x14ac:dyDescent="0.25">
      <c r="A189" s="4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</row>
    <row r="190" spans="1:16" x14ac:dyDescent="0.25">
      <c r="A190" s="4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</row>
    <row r="191" spans="1:16" x14ac:dyDescent="0.25">
      <c r="A191" s="4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</row>
    <row r="192" spans="1:16" x14ac:dyDescent="0.25">
      <c r="A192" s="4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</row>
    <row r="193" spans="1:16" x14ac:dyDescent="0.25">
      <c r="A193" s="4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</row>
    <row r="194" spans="1:16" x14ac:dyDescent="0.25">
      <c r="A194" s="4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</row>
    <row r="195" spans="1:16" x14ac:dyDescent="0.25">
      <c r="A195" s="4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</row>
    <row r="196" spans="1:16" x14ac:dyDescent="0.25">
      <c r="A196" s="4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</row>
    <row r="197" spans="1:16" x14ac:dyDescent="0.25">
      <c r="A197" s="4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</row>
    <row r="198" spans="1:16" x14ac:dyDescent="0.25">
      <c r="A198" s="4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</row>
    <row r="199" spans="1:16" x14ac:dyDescent="0.25">
      <c r="A199" s="4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</row>
    <row r="200" spans="1:16" x14ac:dyDescent="0.25">
      <c r="A200" s="4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</row>
    <row r="201" spans="1:16" x14ac:dyDescent="0.25">
      <c r="A201" s="4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</row>
    <row r="202" spans="1:16" x14ac:dyDescent="0.25">
      <c r="A202" s="4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</row>
    <row r="203" spans="1:16" x14ac:dyDescent="0.25">
      <c r="A203" s="4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</row>
    <row r="204" spans="1:16" x14ac:dyDescent="0.25">
      <c r="A204" s="4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</row>
    <row r="205" spans="1:16" x14ac:dyDescent="0.25">
      <c r="A205" s="4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</row>
    <row r="206" spans="1:16" x14ac:dyDescent="0.25">
      <c r="A206" s="4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</row>
    <row r="207" spans="1:16" x14ac:dyDescent="0.25">
      <c r="A207" s="4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</row>
    <row r="208" spans="1:16" x14ac:dyDescent="0.25">
      <c r="A208" s="4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</row>
    <row r="209" spans="1:16" x14ac:dyDescent="0.25">
      <c r="A209" s="4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</row>
    <row r="210" spans="1:16" x14ac:dyDescent="0.25">
      <c r="A210" s="4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</row>
    <row r="211" spans="1:16" x14ac:dyDescent="0.25">
      <c r="A211" s="4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</row>
    <row r="212" spans="1:16" x14ac:dyDescent="0.25">
      <c r="A212" s="4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</row>
    <row r="213" spans="1:16" x14ac:dyDescent="0.25">
      <c r="A213" s="4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</row>
    <row r="214" spans="1:16" x14ac:dyDescent="0.25">
      <c r="A214" s="4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</row>
    <row r="215" spans="1:16" x14ac:dyDescent="0.25">
      <c r="A215" s="4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</row>
    <row r="216" spans="1:16" x14ac:dyDescent="0.25">
      <c r="A216" s="4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</row>
    <row r="217" spans="1:16" x14ac:dyDescent="0.25">
      <c r="A217" s="4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</row>
    <row r="218" spans="1:16" x14ac:dyDescent="0.25">
      <c r="A218" s="4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</row>
    <row r="219" spans="1:16" x14ac:dyDescent="0.25">
      <c r="A219" s="4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</row>
    <row r="220" spans="1:16" x14ac:dyDescent="0.25">
      <c r="A220" s="4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</row>
    <row r="221" spans="1:16" x14ac:dyDescent="0.25">
      <c r="A221" s="4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</row>
    <row r="222" spans="1:16" x14ac:dyDescent="0.25">
      <c r="A222" s="4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</row>
    <row r="223" spans="1:16" x14ac:dyDescent="0.25">
      <c r="A223" s="4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</row>
    <row r="224" spans="1:16" x14ac:dyDescent="0.25">
      <c r="A224" s="4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</row>
    <row r="225" spans="1:16" x14ac:dyDescent="0.25">
      <c r="A225" s="4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</row>
    <row r="226" spans="1:16" x14ac:dyDescent="0.25">
      <c r="A226" s="4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</row>
    <row r="227" spans="1:16" x14ac:dyDescent="0.25">
      <c r="A227" s="4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</row>
    <row r="228" spans="1:16" x14ac:dyDescent="0.25">
      <c r="A228" s="4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</row>
    <row r="229" spans="1:16" x14ac:dyDescent="0.25">
      <c r="A229" s="4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</row>
    <row r="230" spans="1:16" x14ac:dyDescent="0.25">
      <c r="A230" s="4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</row>
    <row r="231" spans="1:16" x14ac:dyDescent="0.25">
      <c r="A231" s="4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</row>
    <row r="232" spans="1:16" x14ac:dyDescent="0.25">
      <c r="A232" s="4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</row>
    <row r="233" spans="1:16" x14ac:dyDescent="0.25">
      <c r="A233" s="4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</row>
    <row r="234" spans="1:16" x14ac:dyDescent="0.25">
      <c r="A234" s="4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</row>
    <row r="235" spans="1:16" x14ac:dyDescent="0.25">
      <c r="A235" s="4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</row>
    <row r="236" spans="1:16" x14ac:dyDescent="0.25">
      <c r="A236" s="4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</row>
    <row r="237" spans="1:16" x14ac:dyDescent="0.25">
      <c r="A237" s="4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</row>
    <row r="238" spans="1:16" x14ac:dyDescent="0.25">
      <c r="A238" s="4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</row>
    <row r="239" spans="1:16" x14ac:dyDescent="0.25">
      <c r="A239" s="4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</row>
    <row r="240" spans="1:16" x14ac:dyDescent="0.25">
      <c r="A240" s="4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</row>
    <row r="241" spans="1:16" x14ac:dyDescent="0.25">
      <c r="A241" s="4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</row>
    <row r="242" spans="1:16" x14ac:dyDescent="0.25">
      <c r="A242" s="4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</row>
    <row r="243" spans="1:16" x14ac:dyDescent="0.25">
      <c r="A243" s="4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</row>
    <row r="244" spans="1:16" x14ac:dyDescent="0.25">
      <c r="A244" s="4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</row>
    <row r="245" spans="1:16" x14ac:dyDescent="0.25">
      <c r="A245" s="4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</row>
    <row r="246" spans="1:16" x14ac:dyDescent="0.25">
      <c r="A246" s="4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</row>
    <row r="247" spans="1:16" x14ac:dyDescent="0.25">
      <c r="A247" s="4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</row>
    <row r="248" spans="1:16" x14ac:dyDescent="0.25">
      <c r="A248" s="4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</row>
    <row r="249" spans="1:16" x14ac:dyDescent="0.25">
      <c r="A249" s="4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</row>
    <row r="250" spans="1:16" x14ac:dyDescent="0.25">
      <c r="A250" s="4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</row>
    <row r="251" spans="1:16" x14ac:dyDescent="0.25">
      <c r="A251" s="4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</row>
    <row r="252" spans="1:16" x14ac:dyDescent="0.25">
      <c r="A252" s="4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</row>
    <row r="253" spans="1:16" x14ac:dyDescent="0.25">
      <c r="A253" s="4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</row>
    <row r="254" spans="1:16" x14ac:dyDescent="0.25">
      <c r="A254" s="4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</row>
    <row r="255" spans="1:16" x14ac:dyDescent="0.25">
      <c r="A255" s="4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</row>
    <row r="256" spans="1:16" x14ac:dyDescent="0.25">
      <c r="A256" s="4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</row>
    <row r="257" spans="1:16" x14ac:dyDescent="0.25">
      <c r="A257" s="4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</row>
    <row r="258" spans="1:16" x14ac:dyDescent="0.25">
      <c r="A258" s="4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</row>
    <row r="259" spans="1:16" x14ac:dyDescent="0.25">
      <c r="A259" s="4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</row>
    <row r="260" spans="1:16" x14ac:dyDescent="0.25">
      <c r="A260" s="4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</row>
    <row r="261" spans="1:16" x14ac:dyDescent="0.25">
      <c r="A261" s="4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</row>
    <row r="262" spans="1:16" x14ac:dyDescent="0.25">
      <c r="A262" s="4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</row>
    <row r="263" spans="1:16" x14ac:dyDescent="0.25">
      <c r="A263" s="4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</row>
    <row r="264" spans="1:16" x14ac:dyDescent="0.25">
      <c r="A264" s="4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</row>
    <row r="265" spans="1:16" x14ac:dyDescent="0.25">
      <c r="A265" s="4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</row>
    <row r="266" spans="1:16" x14ac:dyDescent="0.25">
      <c r="A266" s="4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</row>
    <row r="267" spans="1:16" x14ac:dyDescent="0.25">
      <c r="A267" s="4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</row>
    <row r="268" spans="1:16" x14ac:dyDescent="0.25">
      <c r="A268" s="4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</row>
    <row r="269" spans="1:16" x14ac:dyDescent="0.25">
      <c r="A269" s="4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</row>
    <row r="270" spans="1:16" x14ac:dyDescent="0.25">
      <c r="A270" s="4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</row>
    <row r="271" spans="1:16" x14ac:dyDescent="0.25">
      <c r="A271" s="4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</row>
    <row r="272" spans="1:16" x14ac:dyDescent="0.25">
      <c r="A272" s="4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</row>
    <row r="273" spans="1:16" x14ac:dyDescent="0.25">
      <c r="A273" s="4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</row>
    <row r="274" spans="1:16" x14ac:dyDescent="0.25">
      <c r="A274" s="4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</row>
    <row r="275" spans="1:16" x14ac:dyDescent="0.25">
      <c r="A275" s="4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</row>
    <row r="276" spans="1:16" x14ac:dyDescent="0.25">
      <c r="A276" s="4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</row>
    <row r="277" spans="1:16" x14ac:dyDescent="0.25">
      <c r="A277" s="4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</row>
    <row r="278" spans="1:16" x14ac:dyDescent="0.25">
      <c r="A278" s="4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</row>
    <row r="279" spans="1:16" x14ac:dyDescent="0.25">
      <c r="A279" s="4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</row>
    <row r="280" spans="1:16" x14ac:dyDescent="0.25">
      <c r="A280" s="4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</row>
    <row r="281" spans="1:16" x14ac:dyDescent="0.25">
      <c r="A281" s="4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</row>
    <row r="282" spans="1:16" x14ac:dyDescent="0.25">
      <c r="A282" s="4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</row>
    <row r="283" spans="1:16" x14ac:dyDescent="0.25">
      <c r="A283" s="4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</row>
    <row r="284" spans="1:16" x14ac:dyDescent="0.25">
      <c r="A284" s="4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</row>
    <row r="285" spans="1:16" x14ac:dyDescent="0.25">
      <c r="A285" s="4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</row>
    <row r="286" spans="1:16" x14ac:dyDescent="0.25">
      <c r="A286" s="4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</row>
    <row r="287" spans="1:16" x14ac:dyDescent="0.25">
      <c r="A287" s="4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</row>
    <row r="288" spans="1:16" x14ac:dyDescent="0.25">
      <c r="A288" s="4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</row>
    <row r="289" spans="1:16" x14ac:dyDescent="0.25">
      <c r="A289" s="4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</row>
    <row r="290" spans="1:16" x14ac:dyDescent="0.25">
      <c r="A290" s="4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</row>
    <row r="291" spans="1:16" x14ac:dyDescent="0.25">
      <c r="A291" s="4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</row>
    <row r="292" spans="1:16" x14ac:dyDescent="0.25">
      <c r="A292" s="4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</row>
    <row r="293" spans="1:16" x14ac:dyDescent="0.25">
      <c r="A293" s="4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</row>
    <row r="294" spans="1:16" x14ac:dyDescent="0.25">
      <c r="A294" s="4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</row>
    <row r="295" spans="1:16" x14ac:dyDescent="0.25">
      <c r="A295" s="4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</row>
    <row r="296" spans="1:16" x14ac:dyDescent="0.25">
      <c r="A296" s="4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</row>
    <row r="297" spans="1:16" x14ac:dyDescent="0.25">
      <c r="A297" s="4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</row>
    <row r="298" spans="1:16" x14ac:dyDescent="0.25">
      <c r="A298" s="4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</row>
    <row r="299" spans="1:16" x14ac:dyDescent="0.25">
      <c r="A299" s="4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</row>
    <row r="300" spans="1:16" x14ac:dyDescent="0.25">
      <c r="A300" s="4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</row>
    <row r="301" spans="1:16" x14ac:dyDescent="0.25">
      <c r="A301" s="4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</row>
    <row r="302" spans="1:16" x14ac:dyDescent="0.25">
      <c r="A302" s="4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</row>
    <row r="303" spans="1:16" x14ac:dyDescent="0.25">
      <c r="A303" s="4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</row>
    <row r="304" spans="1:16" x14ac:dyDescent="0.25">
      <c r="A304" s="4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</row>
    <row r="305" spans="1:16" x14ac:dyDescent="0.25">
      <c r="A305" s="4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</row>
    <row r="306" spans="1:16" x14ac:dyDescent="0.25">
      <c r="A306" s="4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</row>
    <row r="307" spans="1:16" x14ac:dyDescent="0.25">
      <c r="A307" s="4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</row>
    <row r="308" spans="1:16" x14ac:dyDescent="0.25">
      <c r="A308" s="4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</row>
    <row r="309" spans="1:16" x14ac:dyDescent="0.25">
      <c r="A309" s="4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</row>
    <row r="310" spans="1:16" x14ac:dyDescent="0.25">
      <c r="A310" s="4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</row>
    <row r="311" spans="1:16" x14ac:dyDescent="0.25">
      <c r="A311" s="4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</row>
    <row r="312" spans="1:16" x14ac:dyDescent="0.25">
      <c r="A312" s="4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</row>
    <row r="313" spans="1:16" x14ac:dyDescent="0.25">
      <c r="A313" s="4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</row>
    <row r="314" spans="1:16" x14ac:dyDescent="0.25">
      <c r="A314" s="4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</row>
    <row r="315" spans="1:16" x14ac:dyDescent="0.25">
      <c r="A315" s="4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</row>
    <row r="316" spans="1:16" x14ac:dyDescent="0.25">
      <c r="A316" s="4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</row>
    <row r="317" spans="1:16" x14ac:dyDescent="0.25">
      <c r="A317" s="4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</row>
    <row r="318" spans="1:16" x14ac:dyDescent="0.25">
      <c r="A318" s="4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</row>
    <row r="319" spans="1:16" x14ac:dyDescent="0.25">
      <c r="A319" s="4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</row>
    <row r="320" spans="1:16" x14ac:dyDescent="0.25">
      <c r="A320" s="4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</row>
    <row r="321" spans="1:16" x14ac:dyDescent="0.25">
      <c r="A321" s="4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</row>
    <row r="322" spans="1:16" x14ac:dyDescent="0.25">
      <c r="A322" s="4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</row>
    <row r="323" spans="1:16" x14ac:dyDescent="0.25">
      <c r="A323" s="4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</row>
    <row r="324" spans="1:16" x14ac:dyDescent="0.25">
      <c r="A324" s="4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</row>
    <row r="325" spans="1:16" x14ac:dyDescent="0.25">
      <c r="A325" s="4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</row>
    <row r="326" spans="1:16" x14ac:dyDescent="0.25">
      <c r="A326" s="4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</row>
    <row r="327" spans="1:16" x14ac:dyDescent="0.25">
      <c r="A327" s="4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</row>
    <row r="328" spans="1:16" x14ac:dyDescent="0.25">
      <c r="A328" s="4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</row>
    <row r="329" spans="1:16" x14ac:dyDescent="0.25">
      <c r="A329" s="4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</row>
    <row r="330" spans="1:16" x14ac:dyDescent="0.25">
      <c r="A330" s="4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</row>
    <row r="331" spans="1:16" x14ac:dyDescent="0.25">
      <c r="A331" s="4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</row>
    <row r="332" spans="1:16" x14ac:dyDescent="0.25">
      <c r="A332" s="4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</row>
    <row r="333" spans="1:16" x14ac:dyDescent="0.25">
      <c r="A333" s="4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</row>
    <row r="334" spans="1:16" x14ac:dyDescent="0.25">
      <c r="A334" s="4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</row>
    <row r="335" spans="1:16" x14ac:dyDescent="0.25">
      <c r="A335" s="4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</row>
    <row r="336" spans="1:16" x14ac:dyDescent="0.25">
      <c r="A336" s="4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</row>
    <row r="337" spans="1:16" x14ac:dyDescent="0.25">
      <c r="A337" s="4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</row>
    <row r="338" spans="1:16" x14ac:dyDescent="0.25">
      <c r="A338" s="4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</row>
    <row r="339" spans="1:16" x14ac:dyDescent="0.25">
      <c r="A339" s="4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</row>
    <row r="340" spans="1:16" x14ac:dyDescent="0.25">
      <c r="A340" s="4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</row>
    <row r="341" spans="1:16" x14ac:dyDescent="0.25">
      <c r="A341" s="4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</row>
    <row r="342" spans="1:16" x14ac:dyDescent="0.25">
      <c r="A342" s="4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</row>
    <row r="343" spans="1:16" x14ac:dyDescent="0.25">
      <c r="A343" s="4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</row>
    <row r="344" spans="1:16" x14ac:dyDescent="0.25">
      <c r="A344" s="4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</row>
    <row r="345" spans="1:16" x14ac:dyDescent="0.25">
      <c r="A345" s="4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</row>
    <row r="346" spans="1:16" x14ac:dyDescent="0.25">
      <c r="A346" s="4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</row>
    <row r="347" spans="1:16" x14ac:dyDescent="0.25">
      <c r="A347" s="4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</row>
    <row r="348" spans="1:16" x14ac:dyDescent="0.25">
      <c r="A348" s="4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</row>
    <row r="349" spans="1:16" x14ac:dyDescent="0.25">
      <c r="A349" s="4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</row>
    <row r="350" spans="1:16" x14ac:dyDescent="0.25">
      <c r="A350" s="4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</row>
    <row r="351" spans="1:16" x14ac:dyDescent="0.25">
      <c r="A351" s="4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</row>
    <row r="352" spans="1:16" x14ac:dyDescent="0.25">
      <c r="A352" s="4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</row>
    <row r="353" spans="1:16" x14ac:dyDescent="0.25">
      <c r="A353" s="4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</row>
    <row r="354" spans="1:16" x14ac:dyDescent="0.25">
      <c r="A354" s="4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</row>
    <row r="355" spans="1:16" x14ac:dyDescent="0.25">
      <c r="A355" s="4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</row>
    <row r="356" spans="1:16" x14ac:dyDescent="0.25">
      <c r="A356" s="4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</row>
    <row r="357" spans="1:16" x14ac:dyDescent="0.25">
      <c r="A357" s="4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</row>
    <row r="358" spans="1:16" x14ac:dyDescent="0.25">
      <c r="A358" s="4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</row>
    <row r="359" spans="1:16" x14ac:dyDescent="0.25">
      <c r="A359" s="4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</row>
    <row r="360" spans="1:16" x14ac:dyDescent="0.25">
      <c r="A360" s="4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</row>
    <row r="361" spans="1:16" x14ac:dyDescent="0.25">
      <c r="A361" s="4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</row>
    <row r="362" spans="1:16" x14ac:dyDescent="0.25">
      <c r="A362" s="4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</row>
    <row r="363" spans="1:16" x14ac:dyDescent="0.25">
      <c r="A363" s="4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</row>
    <row r="364" spans="1:16" x14ac:dyDescent="0.25">
      <c r="A364" s="4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</row>
    <row r="365" spans="1:16" x14ac:dyDescent="0.25">
      <c r="A365" s="4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</row>
    <row r="366" spans="1:16" x14ac:dyDescent="0.25">
      <c r="A366" s="4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</row>
    <row r="367" spans="1:16" x14ac:dyDescent="0.25">
      <c r="A367" s="4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</row>
    <row r="368" spans="1:16" x14ac:dyDescent="0.25">
      <c r="A368" s="4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</row>
    <row r="369" spans="1:16" x14ac:dyDescent="0.25">
      <c r="A369" s="4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</row>
    <row r="370" spans="1:16" x14ac:dyDescent="0.25">
      <c r="A370" s="4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</row>
    <row r="371" spans="1:16" x14ac:dyDescent="0.25">
      <c r="A371" s="4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</row>
    <row r="372" spans="1:16" x14ac:dyDescent="0.25">
      <c r="A372" s="4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</row>
    <row r="373" spans="1:16" x14ac:dyDescent="0.25">
      <c r="A373" s="4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</row>
    <row r="374" spans="1:16" x14ac:dyDescent="0.25">
      <c r="A374" s="4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</row>
    <row r="375" spans="1:16" x14ac:dyDescent="0.25">
      <c r="A375" s="4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</row>
    <row r="376" spans="1:16" x14ac:dyDescent="0.25">
      <c r="A376" s="4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</row>
    <row r="377" spans="1:16" x14ac:dyDescent="0.25">
      <c r="A377" s="4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</row>
    <row r="378" spans="1:16" x14ac:dyDescent="0.25">
      <c r="A378" s="4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</row>
    <row r="379" spans="1:16" x14ac:dyDescent="0.25">
      <c r="A379" s="4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</row>
    <row r="380" spans="1:16" x14ac:dyDescent="0.25">
      <c r="A380" s="4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</row>
    <row r="381" spans="1:16" x14ac:dyDescent="0.25">
      <c r="A381" s="4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</row>
    <row r="382" spans="1:16" x14ac:dyDescent="0.25">
      <c r="A382" s="4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</row>
    <row r="383" spans="1:16" x14ac:dyDescent="0.25">
      <c r="A383" s="4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</row>
    <row r="384" spans="1:16" x14ac:dyDescent="0.25">
      <c r="A384" s="4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</row>
    <row r="385" spans="1:16" x14ac:dyDescent="0.25">
      <c r="A385" s="4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</row>
    <row r="386" spans="1:16" x14ac:dyDescent="0.25">
      <c r="A386" s="4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</row>
    <row r="387" spans="1:16" x14ac:dyDescent="0.25">
      <c r="A387" s="4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</row>
    <row r="388" spans="1:16" x14ac:dyDescent="0.25">
      <c r="A388" s="4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</row>
    <row r="389" spans="1:16" x14ac:dyDescent="0.25">
      <c r="A389" s="4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</row>
    <row r="390" spans="1:16" x14ac:dyDescent="0.25">
      <c r="A390" s="4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</row>
    <row r="391" spans="1:16" x14ac:dyDescent="0.25">
      <c r="A391" s="4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</row>
    <row r="392" spans="1:16" x14ac:dyDescent="0.25">
      <c r="A392" s="4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</row>
    <row r="393" spans="1:16" x14ac:dyDescent="0.25">
      <c r="A393" s="4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</row>
    <row r="394" spans="1:16" x14ac:dyDescent="0.25">
      <c r="A394" s="4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</row>
    <row r="395" spans="1:16" x14ac:dyDescent="0.25">
      <c r="A395" s="4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</row>
    <row r="396" spans="1:16" x14ac:dyDescent="0.25">
      <c r="A396" s="4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</row>
    <row r="397" spans="1:16" x14ac:dyDescent="0.25">
      <c r="A397" s="4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</row>
    <row r="398" spans="1:16" x14ac:dyDescent="0.25">
      <c r="A398" s="4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</row>
    <row r="399" spans="1:16" x14ac:dyDescent="0.25">
      <c r="A399" s="4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</row>
    <row r="400" spans="1:16" x14ac:dyDescent="0.25">
      <c r="A400" s="4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</row>
    <row r="401" spans="1:16" x14ac:dyDescent="0.25">
      <c r="A401" s="4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</row>
    <row r="402" spans="1:16" x14ac:dyDescent="0.25">
      <c r="A402" s="4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</row>
    <row r="403" spans="1:16" x14ac:dyDescent="0.25">
      <c r="A403" s="4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</row>
    <row r="404" spans="1:16" x14ac:dyDescent="0.25">
      <c r="A404" s="4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</row>
    <row r="405" spans="1:16" x14ac:dyDescent="0.25">
      <c r="A405" s="4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</row>
    <row r="406" spans="1:16" x14ac:dyDescent="0.25">
      <c r="A406" s="4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</row>
    <row r="407" spans="1:16" x14ac:dyDescent="0.25">
      <c r="A407" s="4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</row>
    <row r="408" spans="1:16" x14ac:dyDescent="0.25">
      <c r="A408" s="4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</row>
    <row r="409" spans="1:16" x14ac:dyDescent="0.25">
      <c r="A409" s="4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</row>
    <row r="410" spans="1:16" x14ac:dyDescent="0.25">
      <c r="A410" s="4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</row>
    <row r="411" spans="1:16" x14ac:dyDescent="0.25">
      <c r="A411" s="4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</row>
    <row r="412" spans="1:16" x14ac:dyDescent="0.25">
      <c r="A412" s="4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</row>
    <row r="413" spans="1:16" x14ac:dyDescent="0.25">
      <c r="A413" s="4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</row>
    <row r="414" spans="1:16" x14ac:dyDescent="0.25">
      <c r="A414" s="4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</row>
    <row r="415" spans="1:16" x14ac:dyDescent="0.25">
      <c r="A415" s="4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</row>
    <row r="416" spans="1:16" x14ac:dyDescent="0.25">
      <c r="A416" s="4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</row>
    <row r="417" spans="1:16" x14ac:dyDescent="0.25">
      <c r="A417" s="4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</row>
    <row r="418" spans="1:16" x14ac:dyDescent="0.25">
      <c r="A418" s="4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</row>
    <row r="419" spans="1:16" x14ac:dyDescent="0.25">
      <c r="A419" s="4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</row>
    <row r="420" spans="1:16" x14ac:dyDescent="0.25">
      <c r="A420" s="4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</row>
    <row r="421" spans="1:16" x14ac:dyDescent="0.25">
      <c r="A421" s="4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</row>
    <row r="422" spans="1:16" x14ac:dyDescent="0.25">
      <c r="A422" s="4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</row>
    <row r="423" spans="1:16" x14ac:dyDescent="0.25">
      <c r="A423" s="4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</row>
    <row r="424" spans="1:16" x14ac:dyDescent="0.25">
      <c r="A424" s="4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</row>
    <row r="425" spans="1:16" x14ac:dyDescent="0.25">
      <c r="A425" s="4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</row>
    <row r="426" spans="1:16" x14ac:dyDescent="0.25">
      <c r="A426" s="4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</row>
    <row r="427" spans="1:16" x14ac:dyDescent="0.25">
      <c r="A427" s="4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</row>
    <row r="428" spans="1:16" x14ac:dyDescent="0.25">
      <c r="A428" s="4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</row>
    <row r="429" spans="1:16" x14ac:dyDescent="0.25">
      <c r="A429" s="4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</row>
    <row r="430" spans="1:16" x14ac:dyDescent="0.25">
      <c r="A430" s="4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</row>
    <row r="431" spans="1:16" x14ac:dyDescent="0.25">
      <c r="A431" s="4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</row>
    <row r="432" spans="1:16" x14ac:dyDescent="0.25">
      <c r="A432" s="4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</row>
    <row r="433" spans="1:16" x14ac:dyDescent="0.25">
      <c r="A433" s="4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</row>
    <row r="434" spans="1:16" x14ac:dyDescent="0.25">
      <c r="A434" s="4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</row>
    <row r="435" spans="1:16" x14ac:dyDescent="0.25">
      <c r="A435" s="4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</row>
    <row r="436" spans="1:16" x14ac:dyDescent="0.25">
      <c r="A436" s="4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</row>
    <row r="437" spans="1:16" x14ac:dyDescent="0.25">
      <c r="A437" s="4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</row>
    <row r="438" spans="1:16" x14ac:dyDescent="0.25">
      <c r="A438" s="4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</row>
    <row r="439" spans="1:16" x14ac:dyDescent="0.25">
      <c r="A439" s="4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</row>
    <row r="440" spans="1:16" x14ac:dyDescent="0.25">
      <c r="A440" s="4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</row>
    <row r="441" spans="1:16" x14ac:dyDescent="0.25">
      <c r="A441" s="4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</row>
    <row r="442" spans="1:16" x14ac:dyDescent="0.25">
      <c r="A442" s="4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</row>
    <row r="443" spans="1:16" x14ac:dyDescent="0.25">
      <c r="A443" s="4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</row>
    <row r="444" spans="1:16" x14ac:dyDescent="0.25">
      <c r="A444" s="4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</row>
    <row r="445" spans="1:16" x14ac:dyDescent="0.25">
      <c r="A445" s="4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</row>
    <row r="446" spans="1:16" x14ac:dyDescent="0.25">
      <c r="A446" s="4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</row>
    <row r="447" spans="1:16" x14ac:dyDescent="0.25">
      <c r="A447" s="4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</row>
    <row r="448" spans="1:16" x14ac:dyDescent="0.25">
      <c r="A448" s="4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</row>
    <row r="449" spans="1:16" x14ac:dyDescent="0.25">
      <c r="A449" s="4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</row>
    <row r="450" spans="1:16" x14ac:dyDescent="0.25">
      <c r="A450" s="4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</row>
    <row r="451" spans="1:16" x14ac:dyDescent="0.25">
      <c r="A451" s="4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</row>
    <row r="452" spans="1:16" x14ac:dyDescent="0.25">
      <c r="A452" s="4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</row>
    <row r="453" spans="1:16" x14ac:dyDescent="0.25">
      <c r="A453" s="4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</row>
    <row r="454" spans="1:16" x14ac:dyDescent="0.25">
      <c r="A454" s="4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</row>
    <row r="455" spans="1:16" x14ac:dyDescent="0.25">
      <c r="A455" s="4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</row>
    <row r="456" spans="1:16" x14ac:dyDescent="0.25">
      <c r="A456" s="4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</row>
    <row r="457" spans="1:16" x14ac:dyDescent="0.25">
      <c r="A457" s="4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</row>
    <row r="458" spans="1:16" x14ac:dyDescent="0.25">
      <c r="A458" s="4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</row>
    <row r="459" spans="1:16" x14ac:dyDescent="0.25">
      <c r="A459" s="4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</row>
    <row r="460" spans="1:16" x14ac:dyDescent="0.25">
      <c r="A460" s="4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</row>
    <row r="461" spans="1:16" x14ac:dyDescent="0.25">
      <c r="A461" s="4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</row>
    <row r="462" spans="1:16" x14ac:dyDescent="0.25">
      <c r="A462" s="4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</row>
    <row r="463" spans="1:16" x14ac:dyDescent="0.25">
      <c r="A463" s="4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</row>
    <row r="464" spans="1:16" x14ac:dyDescent="0.25">
      <c r="A464" s="4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</row>
    <row r="465" spans="1:16" x14ac:dyDescent="0.25">
      <c r="A465" s="4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</row>
    <row r="466" spans="1:16" x14ac:dyDescent="0.25">
      <c r="A466" s="4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</row>
    <row r="467" spans="1:16" x14ac:dyDescent="0.25">
      <c r="A467" s="4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</row>
    <row r="468" spans="1:16" x14ac:dyDescent="0.25">
      <c r="A468" s="4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</row>
    <row r="469" spans="1:16" x14ac:dyDescent="0.25">
      <c r="A469" s="4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</row>
    <row r="470" spans="1:16" x14ac:dyDescent="0.25">
      <c r="A470" s="4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</row>
    <row r="471" spans="1:16" x14ac:dyDescent="0.25">
      <c r="A471" s="4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</row>
    <row r="472" spans="1:16" x14ac:dyDescent="0.25">
      <c r="A472" s="4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</row>
    <row r="473" spans="1:16" x14ac:dyDescent="0.25">
      <c r="A473" s="4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</row>
    <row r="474" spans="1:16" x14ac:dyDescent="0.25">
      <c r="A474" s="4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</row>
    <row r="475" spans="1:16" x14ac:dyDescent="0.25">
      <c r="A475" s="4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</row>
    <row r="476" spans="1:16" x14ac:dyDescent="0.25">
      <c r="A476" s="4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</row>
    <row r="477" spans="1:16" x14ac:dyDescent="0.25">
      <c r="A477" s="4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</row>
    <row r="478" spans="1:16" x14ac:dyDescent="0.25">
      <c r="A478" s="4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</row>
    <row r="479" spans="1:16" x14ac:dyDescent="0.25">
      <c r="A479" s="4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</row>
    <row r="480" spans="1:16" x14ac:dyDescent="0.25">
      <c r="A480" s="4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</row>
    <row r="481" spans="1:16" x14ac:dyDescent="0.25">
      <c r="A481" s="4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</row>
    <row r="482" spans="1:16" x14ac:dyDescent="0.25">
      <c r="A482" s="4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</row>
    <row r="483" spans="1:16" x14ac:dyDescent="0.25">
      <c r="A483" s="4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</row>
    <row r="484" spans="1:16" x14ac:dyDescent="0.25">
      <c r="A484" s="4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</row>
    <row r="485" spans="1:16" x14ac:dyDescent="0.25">
      <c r="A485" s="4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</row>
    <row r="486" spans="1:16" x14ac:dyDescent="0.25">
      <c r="A486" s="4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</row>
    <row r="487" spans="1:16" x14ac:dyDescent="0.25">
      <c r="A487" s="4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</row>
    <row r="488" spans="1:16" x14ac:dyDescent="0.25">
      <c r="A488" s="4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</row>
    <row r="489" spans="1:16" x14ac:dyDescent="0.25">
      <c r="A489" s="4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</row>
    <row r="490" spans="1:16" x14ac:dyDescent="0.25">
      <c r="A490" s="4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</row>
    <row r="491" spans="1:16" x14ac:dyDescent="0.25">
      <c r="A491" s="4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</row>
    <row r="492" spans="1:16" x14ac:dyDescent="0.25">
      <c r="A492" s="4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</row>
    <row r="493" spans="1:16" x14ac:dyDescent="0.25">
      <c r="A493" s="4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</row>
    <row r="494" spans="1:16" x14ac:dyDescent="0.25">
      <c r="A494" s="4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</row>
    <row r="495" spans="1:16" x14ac:dyDescent="0.25">
      <c r="A495" s="4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</row>
    <row r="496" spans="1:16" x14ac:dyDescent="0.25">
      <c r="A496" s="4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</row>
    <row r="497" spans="1:16" x14ac:dyDescent="0.25">
      <c r="A497" s="4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</row>
    <row r="498" spans="1:16" x14ac:dyDescent="0.25">
      <c r="A498" s="4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</row>
    <row r="499" spans="1:16" x14ac:dyDescent="0.25">
      <c r="A499" s="4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</row>
    <row r="500" spans="1:16" x14ac:dyDescent="0.25">
      <c r="A500" s="4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</row>
    <row r="501" spans="1:16" x14ac:dyDescent="0.25">
      <c r="A501" s="4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</row>
    <row r="502" spans="1:16" x14ac:dyDescent="0.25">
      <c r="A502" s="4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</row>
    <row r="503" spans="1:16" x14ac:dyDescent="0.25">
      <c r="A503" s="4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</row>
    <row r="504" spans="1:16" x14ac:dyDescent="0.25">
      <c r="A504" s="4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</row>
    <row r="505" spans="1:16" x14ac:dyDescent="0.25">
      <c r="A505" s="4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</row>
    <row r="506" spans="1:16" x14ac:dyDescent="0.25">
      <c r="A506" s="4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</row>
    <row r="507" spans="1:16" x14ac:dyDescent="0.25">
      <c r="A507" s="4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</row>
    <row r="508" spans="1:16" x14ac:dyDescent="0.25">
      <c r="A508" s="4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</row>
    <row r="509" spans="1:16" x14ac:dyDescent="0.25">
      <c r="A509" s="4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</row>
    <row r="510" spans="1:16" x14ac:dyDescent="0.25">
      <c r="A510" s="4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</row>
    <row r="511" spans="1:16" x14ac:dyDescent="0.25">
      <c r="A511" s="4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</row>
    <row r="512" spans="1:16" x14ac:dyDescent="0.25">
      <c r="A512" s="4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</row>
    <row r="513" spans="1:16" x14ac:dyDescent="0.25">
      <c r="A513" s="4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</row>
    <row r="514" spans="1:16" x14ac:dyDescent="0.25">
      <c r="A514" s="4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</row>
    <row r="515" spans="1:16" x14ac:dyDescent="0.25">
      <c r="A515" s="4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</row>
    <row r="516" spans="1:16" x14ac:dyDescent="0.25">
      <c r="A516" s="4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</row>
    <row r="517" spans="1:16" x14ac:dyDescent="0.25">
      <c r="A517" s="4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</row>
    <row r="518" spans="1:16" x14ac:dyDescent="0.25">
      <c r="A518" s="4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</row>
    <row r="519" spans="1:16" x14ac:dyDescent="0.25">
      <c r="A519" s="4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</row>
    <row r="520" spans="1:16" x14ac:dyDescent="0.25">
      <c r="A520" s="4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</row>
    <row r="521" spans="1:16" x14ac:dyDescent="0.25">
      <c r="A521" s="4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</row>
    <row r="522" spans="1:16" x14ac:dyDescent="0.25">
      <c r="A522" s="4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</row>
    <row r="523" spans="1:16" x14ac:dyDescent="0.25">
      <c r="A523" s="4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</row>
    <row r="524" spans="1:16" x14ac:dyDescent="0.25">
      <c r="A524" s="4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</row>
    <row r="525" spans="1:16" x14ac:dyDescent="0.25">
      <c r="A525" s="4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</row>
    <row r="526" spans="1:16" x14ac:dyDescent="0.25">
      <c r="A526" s="4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</row>
    <row r="527" spans="1:16" x14ac:dyDescent="0.25">
      <c r="A527" s="4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</row>
    <row r="528" spans="1:16" x14ac:dyDescent="0.25">
      <c r="A528" s="4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</row>
    <row r="529" spans="1:16" x14ac:dyDescent="0.25">
      <c r="A529" s="4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</row>
    <row r="530" spans="1:16" x14ac:dyDescent="0.25">
      <c r="A530" s="4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</row>
    <row r="531" spans="1:16" x14ac:dyDescent="0.25">
      <c r="A531" s="4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</row>
    <row r="532" spans="1:16" x14ac:dyDescent="0.25">
      <c r="A532" s="4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</row>
    <row r="533" spans="1:16" x14ac:dyDescent="0.25">
      <c r="A533" s="4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</row>
    <row r="534" spans="1:16" x14ac:dyDescent="0.25">
      <c r="A534" s="4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</row>
    <row r="535" spans="1:16" x14ac:dyDescent="0.25">
      <c r="A535" s="4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</row>
    <row r="536" spans="1:16" x14ac:dyDescent="0.25">
      <c r="A536" s="4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</row>
    <row r="537" spans="1:16" x14ac:dyDescent="0.25">
      <c r="A537" s="4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</row>
    <row r="538" spans="1:16" x14ac:dyDescent="0.25">
      <c r="A538" s="4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</row>
    <row r="539" spans="1:16" x14ac:dyDescent="0.25">
      <c r="A539" s="4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</row>
    <row r="540" spans="1:16" x14ac:dyDescent="0.25">
      <c r="A540" s="4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</row>
    <row r="541" spans="1:16" x14ac:dyDescent="0.25">
      <c r="A541" s="4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</row>
    <row r="542" spans="1:16" x14ac:dyDescent="0.25">
      <c r="A542" s="4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</row>
    <row r="543" spans="1:16" x14ac:dyDescent="0.25">
      <c r="A543" s="4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</row>
    <row r="544" spans="1:16" x14ac:dyDescent="0.25">
      <c r="A544" s="4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</row>
    <row r="545" spans="1:16" x14ac:dyDescent="0.25">
      <c r="A545" s="4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</row>
    <row r="546" spans="1:16" x14ac:dyDescent="0.25">
      <c r="A546" s="4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</row>
    <row r="547" spans="1:16" x14ac:dyDescent="0.25">
      <c r="A547" s="4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</row>
    <row r="548" spans="1:16" x14ac:dyDescent="0.25">
      <c r="A548" s="4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</row>
    <row r="549" spans="1:16" x14ac:dyDescent="0.25">
      <c r="A549" s="4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</row>
    <row r="550" spans="1:16" x14ac:dyDescent="0.25">
      <c r="A550" s="4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</row>
    <row r="551" spans="1:16" x14ac:dyDescent="0.25">
      <c r="A551" s="4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</row>
    <row r="552" spans="1:16" x14ac:dyDescent="0.25">
      <c r="A552" s="4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</row>
    <row r="553" spans="1:16" x14ac:dyDescent="0.25">
      <c r="A553" s="4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</row>
    <row r="554" spans="1:16" x14ac:dyDescent="0.25">
      <c r="A554" s="4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</row>
    <row r="555" spans="1:16" x14ac:dyDescent="0.25">
      <c r="A555" s="4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</row>
    <row r="556" spans="1:16" x14ac:dyDescent="0.25">
      <c r="A556" s="4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</row>
    <row r="557" spans="1:16" x14ac:dyDescent="0.25">
      <c r="A557" s="4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</row>
    <row r="558" spans="1:16" x14ac:dyDescent="0.25">
      <c r="A558" s="4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</row>
    <row r="559" spans="1:16" x14ac:dyDescent="0.25">
      <c r="A559" s="4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</row>
    <row r="560" spans="1:16" x14ac:dyDescent="0.25">
      <c r="A560" s="4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</row>
    <row r="561" spans="1:16" x14ac:dyDescent="0.25">
      <c r="A561" s="4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</row>
    <row r="562" spans="1:16" x14ac:dyDescent="0.25">
      <c r="A562" s="4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</row>
    <row r="563" spans="1:16" x14ac:dyDescent="0.25">
      <c r="A563" s="4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</row>
    <row r="564" spans="1:16" x14ac:dyDescent="0.25">
      <c r="A564" s="4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</row>
    <row r="565" spans="1:16" x14ac:dyDescent="0.25">
      <c r="A565" s="4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</row>
    <row r="566" spans="1:16" x14ac:dyDescent="0.25">
      <c r="A566" s="4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</row>
    <row r="567" spans="1:16" x14ac:dyDescent="0.25">
      <c r="A567" s="4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</row>
    <row r="568" spans="1:16" x14ac:dyDescent="0.25">
      <c r="A568" s="4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</row>
    <row r="569" spans="1:16" x14ac:dyDescent="0.25">
      <c r="A569" s="4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</row>
    <row r="570" spans="1:16" x14ac:dyDescent="0.25">
      <c r="A570" s="4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</row>
    <row r="571" spans="1:16" x14ac:dyDescent="0.25">
      <c r="A571" s="4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</row>
    <row r="572" spans="1:16" x14ac:dyDescent="0.25">
      <c r="A572" s="4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</row>
    <row r="573" spans="1:16" x14ac:dyDescent="0.25">
      <c r="A573" s="4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</row>
    <row r="574" spans="1:16" x14ac:dyDescent="0.25">
      <c r="A574" s="4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</row>
    <row r="575" spans="1:16" x14ac:dyDescent="0.25">
      <c r="A575" s="4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</row>
    <row r="576" spans="1:16" x14ac:dyDescent="0.25">
      <c r="A576" s="4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</row>
    <row r="577" spans="1:16" x14ac:dyDescent="0.25">
      <c r="A577" s="4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</row>
    <row r="578" spans="1:16" x14ac:dyDescent="0.25">
      <c r="A578" s="4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</row>
    <row r="579" spans="1:16" x14ac:dyDescent="0.25">
      <c r="A579" s="4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</row>
    <row r="580" spans="1:16" x14ac:dyDescent="0.25">
      <c r="A580" s="4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</row>
    <row r="581" spans="1:16" x14ac:dyDescent="0.25">
      <c r="A581" s="4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</row>
    <row r="582" spans="1:16" x14ac:dyDescent="0.25">
      <c r="A582" s="4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</row>
    <row r="583" spans="1:16" x14ac:dyDescent="0.25">
      <c r="A583" s="4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</row>
    <row r="584" spans="1:16" x14ac:dyDescent="0.25">
      <c r="A584" s="4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</row>
    <row r="585" spans="1:16" x14ac:dyDescent="0.25">
      <c r="A585" s="4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</row>
    <row r="586" spans="1:16" x14ac:dyDescent="0.25">
      <c r="A586" s="4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</row>
    <row r="587" spans="1:16" x14ac:dyDescent="0.25">
      <c r="A587" s="4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</row>
    <row r="588" spans="1:16" x14ac:dyDescent="0.25">
      <c r="A588" s="4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</row>
    <row r="589" spans="1:16" x14ac:dyDescent="0.25">
      <c r="A589" s="4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</row>
    <row r="590" spans="1:16" x14ac:dyDescent="0.25">
      <c r="A590" s="4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</row>
    <row r="591" spans="1:16" x14ac:dyDescent="0.25">
      <c r="A591" s="4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</row>
    <row r="592" spans="1:16" x14ac:dyDescent="0.25">
      <c r="A592" s="4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</row>
    <row r="593" spans="1:16" x14ac:dyDescent="0.25">
      <c r="A593" s="4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</row>
    <row r="594" spans="1:16" x14ac:dyDescent="0.25">
      <c r="A594" s="4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</row>
    <row r="595" spans="1:16" x14ac:dyDescent="0.25">
      <c r="A595" s="4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</row>
    <row r="596" spans="1:16" x14ac:dyDescent="0.25">
      <c r="A596" s="4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</row>
    <row r="597" spans="1:16" x14ac:dyDescent="0.25">
      <c r="A597" s="4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</row>
    <row r="598" spans="1:16" x14ac:dyDescent="0.25">
      <c r="A598" s="4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</row>
    <row r="599" spans="1:16" x14ac:dyDescent="0.25">
      <c r="A599" s="4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</row>
    <row r="600" spans="1:16" x14ac:dyDescent="0.25">
      <c r="A600" s="4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</row>
    <row r="601" spans="1:16" x14ac:dyDescent="0.25">
      <c r="A601" s="4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</row>
    <row r="602" spans="1:16" x14ac:dyDescent="0.25">
      <c r="A602" s="4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</row>
    <row r="603" spans="1:16" x14ac:dyDescent="0.25">
      <c r="A603" s="4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</row>
    <row r="604" spans="1:16" x14ac:dyDescent="0.25">
      <c r="A604" s="4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</row>
    <row r="605" spans="1:16" x14ac:dyDescent="0.25">
      <c r="A605" s="4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</row>
    <row r="606" spans="1:16" x14ac:dyDescent="0.25">
      <c r="A606" s="4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</row>
    <row r="607" spans="1:16" x14ac:dyDescent="0.25">
      <c r="A607" s="4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</row>
    <row r="608" spans="1:16" x14ac:dyDescent="0.25">
      <c r="A608" s="4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</row>
    <row r="609" spans="1:16" x14ac:dyDescent="0.25">
      <c r="A609" s="4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</row>
    <row r="610" spans="1:16" x14ac:dyDescent="0.25">
      <c r="A610" s="4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</row>
    <row r="611" spans="1:16" x14ac:dyDescent="0.25">
      <c r="A611" s="4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</row>
    <row r="612" spans="1:16" x14ac:dyDescent="0.25">
      <c r="A612" s="4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</row>
    <row r="613" spans="1:16" x14ac:dyDescent="0.25">
      <c r="A613" s="4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</row>
    <row r="614" spans="1:16" x14ac:dyDescent="0.25">
      <c r="A614" s="4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</row>
    <row r="615" spans="1:16" x14ac:dyDescent="0.25">
      <c r="A615" s="4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</row>
    <row r="616" spans="1:16" x14ac:dyDescent="0.25">
      <c r="A616" s="4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</row>
    <row r="617" spans="1:16" x14ac:dyDescent="0.25">
      <c r="A617" s="4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</row>
    <row r="618" spans="1:16" x14ac:dyDescent="0.25">
      <c r="A618" s="4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</row>
    <row r="619" spans="1:16" x14ac:dyDescent="0.25">
      <c r="A619" s="4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</row>
    <row r="620" spans="1:16" x14ac:dyDescent="0.25">
      <c r="A620" s="4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</row>
    <row r="621" spans="1:16" x14ac:dyDescent="0.25">
      <c r="A621" s="4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</row>
    <row r="622" spans="1:16" x14ac:dyDescent="0.25">
      <c r="A622" s="4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</row>
  </sheetData>
  <autoFilter ref="A4:P78" xr:uid="{00000000-0009-0000-0000-000000000000}"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</autoFilter>
  <mergeCells count="11">
    <mergeCell ref="M4:N4"/>
    <mergeCell ref="O4:P4"/>
    <mergeCell ref="A4:A5"/>
    <mergeCell ref="A1:P1"/>
    <mergeCell ref="A2:P2"/>
    <mergeCell ref="B4:B5"/>
    <mergeCell ref="C4:D4"/>
    <mergeCell ref="E4:F4"/>
    <mergeCell ref="G4:H4"/>
    <mergeCell ref="I4:J4"/>
    <mergeCell ref="K4:L4"/>
  </mergeCells>
  <printOptions horizontalCentered="1"/>
  <pageMargins left="0.25" right="0.25" top="0.75" bottom="0.75" header="0.3" footer="0.3"/>
  <pageSetup paperSize="9" scale="62" fitToHeight="0" orientation="landscape" r:id="rId1"/>
  <headerFooter alignWithMargins="0"/>
  <rowBreaks count="3" manualBreakCount="3">
    <brk id="25" max="19" man="1"/>
    <brk id="47" max="19" man="1"/>
    <brk id="69" max="19" man="1"/>
  </rowBreaks>
  <drawing r:id="rId2"/>
  <legacyDrawing r:id="rId3"/>
  <controls>
    <mc:AlternateContent xmlns:mc="http://schemas.openxmlformats.org/markup-compatibility/2006">
      <mc:Choice Requires="x14">
        <control shapeId="63489" r:id="rId4" name="CommandButton1">
          <controlPr defaultSize="0" autoLine="0" r:id="rId5">
            <anchor moveWithCells="1">
              <from>
                <xdr:col>16</xdr:col>
                <xdr:colOff>0</xdr:colOff>
                <xdr:row>0</xdr:row>
                <xdr:rowOff>209550</xdr:rowOff>
              </from>
              <to>
                <xdr:col>18</xdr:col>
                <xdr:colOff>438150</xdr:colOff>
                <xdr:row>3</xdr:row>
                <xdr:rowOff>123825</xdr:rowOff>
              </to>
            </anchor>
          </controlPr>
        </control>
      </mc:Choice>
      <mc:Fallback>
        <control shapeId="63489" r:id="rId4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6">
    <tabColor theme="0" tint="-0.14999847407452621"/>
    <pageSetUpPr fitToPage="1"/>
  </sheetPr>
  <dimension ref="A1:U928"/>
  <sheetViews>
    <sheetView showGridLines="0" showZeros="0" view="pageBreakPreview" zoomScale="80" zoomScaleNormal="70" zoomScaleSheetLayoutView="80" workbookViewId="0">
      <selection activeCell="W18" sqref="W18"/>
    </sheetView>
  </sheetViews>
  <sheetFormatPr defaultRowHeight="15" x14ac:dyDescent="0.25"/>
  <cols>
    <col min="1" max="1" width="39.42578125" style="2" customWidth="1"/>
    <col min="2" max="5" width="10" style="2" customWidth="1"/>
    <col min="6" max="6" width="10" style="6" customWidth="1"/>
    <col min="7" max="7" width="10" style="2" customWidth="1"/>
    <col min="8" max="8" width="11" style="6" bestFit="1" customWidth="1"/>
    <col min="9" max="9" width="10" style="2" customWidth="1"/>
    <col min="10" max="10" width="11.28515625" style="2" customWidth="1"/>
    <col min="11" max="11" width="10.85546875" style="2" customWidth="1"/>
    <col min="12" max="12" width="10" style="6" customWidth="1"/>
    <col min="13" max="15" width="10" style="2" customWidth="1"/>
    <col min="16" max="16" width="7.7109375" style="2" customWidth="1"/>
    <col min="17" max="17" width="12.42578125" style="2" customWidth="1"/>
    <col min="18" max="18" width="13.5703125" style="2" customWidth="1"/>
    <col min="19" max="16384" width="9.140625" style="2"/>
  </cols>
  <sheetData>
    <row r="1" spans="1:21" s="7" customFormat="1" ht="20.25" x14ac:dyDescent="0.3">
      <c r="A1" s="40" t="s">
        <v>16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21" s="7" customFormat="1" ht="20.25" x14ac:dyDescent="0.3">
      <c r="A2" s="41" t="str">
        <f>'Пшеница мягкая 28 сен'!A2:P2</f>
        <v>по состоянию на 28 сентября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21" ht="6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1" ht="33" customHeight="1" x14ac:dyDescent="0.25">
      <c r="A4" s="42" t="s">
        <v>0</v>
      </c>
      <c r="B4" s="44" t="s">
        <v>14</v>
      </c>
      <c r="C4" s="44"/>
      <c r="D4" s="44" t="s">
        <v>2</v>
      </c>
      <c r="E4" s="44"/>
      <c r="F4" s="44" t="s">
        <v>3</v>
      </c>
      <c r="G4" s="44"/>
      <c r="H4" s="44" t="s">
        <v>4</v>
      </c>
      <c r="I4" s="44"/>
      <c r="J4" s="44" t="s">
        <v>15</v>
      </c>
      <c r="K4" s="44"/>
      <c r="L4" s="44" t="s">
        <v>5</v>
      </c>
      <c r="M4" s="44"/>
      <c r="N4" s="44" t="s">
        <v>6</v>
      </c>
      <c r="O4" s="44"/>
    </row>
    <row r="5" spans="1:21" ht="53.25" customHeight="1" x14ac:dyDescent="0.25">
      <c r="A5" s="43"/>
      <c r="B5" s="15" t="s">
        <v>18</v>
      </c>
      <c r="C5" s="16" t="s">
        <v>19</v>
      </c>
      <c r="D5" s="15" t="s">
        <v>18</v>
      </c>
      <c r="E5" s="16" t="s">
        <v>19</v>
      </c>
      <c r="F5" s="15" t="s">
        <v>18</v>
      </c>
      <c r="G5" s="16" t="s">
        <v>19</v>
      </c>
      <c r="H5" s="15" t="s">
        <v>18</v>
      </c>
      <c r="I5" s="16" t="s">
        <v>19</v>
      </c>
      <c r="J5" s="15" t="s">
        <v>18</v>
      </c>
      <c r="K5" s="16" t="s">
        <v>19</v>
      </c>
      <c r="L5" s="15" t="s">
        <v>18</v>
      </c>
      <c r="M5" s="16" t="s">
        <v>19</v>
      </c>
      <c r="N5" s="15" t="s">
        <v>18</v>
      </c>
      <c r="O5" s="16" t="s">
        <v>19</v>
      </c>
    </row>
    <row r="6" spans="1:21" ht="20.100000000000001" customHeight="1" x14ac:dyDescent="0.25">
      <c r="A6" s="10" t="str">
        <f>'Пшеница мягкая 28 сен'!A6</f>
        <v>Всего</v>
      </c>
      <c r="B6" s="17" t="e">
        <f>IF('Пшеница мягкая 28 сен'!D6="","",'Пшеница мягкая 28 сен'!D6-'Пшеница мягкая 28 сен'!#REF!)</f>
        <v>#REF!</v>
      </c>
      <c r="C6" s="18">
        <f>'Пшеница мягкая 28 сен'!D6</f>
        <v>5.6904735589576932E-3</v>
      </c>
      <c r="D6" s="17" t="e">
        <f>IF('Пшеница мягкая 28 сен'!F6="","",'Пшеница мягкая 28 сен'!F6-'Пшеница мягкая 28 сен'!#REF!)</f>
        <v>#REF!</v>
      </c>
      <c r="E6" s="19">
        <f>'Пшеница мягкая 28 сен'!F6</f>
        <v>1.9118241331240828E-2</v>
      </c>
      <c r="F6" s="17" t="e">
        <f>IF('Пшеница мягкая 28 сен'!H6=0,"",'Пшеница мягкая 28 сен'!H6-'Пшеница мягкая 28 сен'!#REF!)</f>
        <v>#REF!</v>
      </c>
      <c r="G6" s="18">
        <f>'Пшеница мягкая 28 сен'!H6</f>
        <v>32.074405682243153</v>
      </c>
      <c r="H6" s="17" t="e">
        <f>IF('Пшеница мягкая 28 сен'!J6=0,"",'Пшеница мягкая 28 сен'!J6-'Пшеница мягкая 28 сен'!#REF!)</f>
        <v>#REF!</v>
      </c>
      <c r="I6" s="18">
        <f>'Пшеница мягкая 28 сен'!J6</f>
        <v>46.289072027870546</v>
      </c>
      <c r="J6" s="17" t="e">
        <f>IF('Пшеница мягкая 28 сен'!L6=0,"",'Пшеница мягкая 28 сен'!L6-'Пшеница мягкая 28 сен'!#REF!)</f>
        <v>#REF!</v>
      </c>
      <c r="K6" s="18">
        <f>'Пшеница мягкая 28 сен'!L6</f>
        <v>78.388286425003912</v>
      </c>
      <c r="L6" s="17" t="e">
        <f>IF('Пшеница мягкая 28 сен'!N6=0,"",'Пшеница мягкая 28 сен'!N6-'Пшеница мягкая 28 сен'!#REF!)</f>
        <v>#REF!</v>
      </c>
      <c r="M6" s="18">
        <f>'Пшеница мягкая 28 сен'!N6</f>
        <v>21.248273811486619</v>
      </c>
      <c r="N6" s="17" t="e">
        <f>IF(OR('Пшеница мягкая 28 сен'!P6="",'Пшеница мягкая 28 сен'!P6=0),"",'Пшеница мягкая 28 сен'!P6-'Пшеница мягкая 28 сен'!#REF!)</f>
        <v>#REF!</v>
      </c>
      <c r="O6" s="18">
        <f>'Пшеница мягкая 28 сен'!P6</f>
        <v>0.36343976350946144</v>
      </c>
      <c r="U6" s="5"/>
    </row>
    <row r="7" spans="1:21" s="3" customFormat="1" ht="20.25" customHeight="1" x14ac:dyDescent="0.25">
      <c r="A7" s="13" t="str">
        <f>'Пшеница мягкая 28 сен'!A7</f>
        <v>Южный фед. округ</v>
      </c>
      <c r="B7" s="12" t="str">
        <f>IF('Пшеница мягкая 28 сен'!D7="","",'Пшеница мягкая 28 сен'!D7-'Пшеница мягкая 28 сен'!#REF!)</f>
        <v/>
      </c>
      <c r="C7" s="14">
        <f>'Пшеница мягкая 28 сен'!D7</f>
        <v>0</v>
      </c>
      <c r="D7" s="12" t="str">
        <f>IF('Пшеница мягкая 28 сен'!F7="","",'Пшеница мягкая 28 сен'!F7-'Пшеница мягкая 28 сен'!#REF!)</f>
        <v/>
      </c>
      <c r="E7" s="14">
        <f>'Пшеница мягкая 28 сен'!F7</f>
        <v>0</v>
      </c>
      <c r="F7" s="12" t="e">
        <f>IF('Пшеница мягкая 28 сен'!H7=0,"",'Пшеница мягкая 28 сен'!H7-'Пшеница мягкая 28 сен'!#REF!)</f>
        <v>#REF!</v>
      </c>
      <c r="G7" s="14">
        <f>'Пшеница мягкая 28 сен'!H7</f>
        <v>31.985835302574994</v>
      </c>
      <c r="H7" s="12" t="e">
        <f>IF('Пшеница мягкая 28 сен'!J7=0,"",'Пшеница мягкая 28 сен'!J7-'Пшеница мягкая 28 сен'!#REF!)</f>
        <v>#REF!</v>
      </c>
      <c r="I7" s="14">
        <f>'Пшеница мягкая 28 сен'!J7</f>
        <v>48.857103724777154</v>
      </c>
      <c r="J7" s="12" t="e">
        <f>IF('Пшеница мягкая 28 сен'!L7=0,"",'Пшеница мягкая 28 сен'!L7-'Пшеница мягкая 28 сен'!#REF!)</f>
        <v>#REF!</v>
      </c>
      <c r="K7" s="14">
        <f>'Пшеница мягкая 28 сен'!L7</f>
        <v>80.842939027352131</v>
      </c>
      <c r="L7" s="12" t="e">
        <f>IF('Пшеница мягкая 28 сен'!N7=0,"",'Пшеница мягкая 28 сен'!N7-'Пшеница мягкая 28 сен'!#REF!)</f>
        <v>#REF!</v>
      </c>
      <c r="M7" s="14">
        <f>'Пшеница мягкая 28 сен'!N7</f>
        <v>19.150104098739398</v>
      </c>
      <c r="N7" s="12" t="e">
        <f>IF(OR('Пшеница мягкая 28 сен'!P7="",'Пшеница мягкая 28 сен'!P7=0),"",'Пшеница мягкая 28 сен'!P7-'Пшеница мягкая 28 сен'!#REF!)</f>
        <v>#REF!</v>
      </c>
      <c r="O7" s="14">
        <f>'Пшеница мягкая 28 сен'!P7</f>
        <v>6.9568739084543835E-3</v>
      </c>
      <c r="P7" s="2"/>
      <c r="Q7" s="2"/>
      <c r="R7" s="2"/>
      <c r="S7" s="2"/>
      <c r="T7" s="2"/>
    </row>
    <row r="8" spans="1:21" s="3" customFormat="1" ht="19.5" customHeight="1" x14ac:dyDescent="0.25">
      <c r="A8" s="11" t="str">
        <f>'Пшеница мягкая 28 сен'!A8</f>
        <v>Астраханская область</v>
      </c>
      <c r="B8" s="17" t="str">
        <f>IF('Пшеница мягкая 28 сен'!D8="","",'Пшеница мягкая 28 сен'!D8-'Пшеница мягкая 28 сен'!#REF!)</f>
        <v/>
      </c>
      <c r="C8" s="18">
        <f>'Пшеница мягкая 28 сен'!D8</f>
        <v>0</v>
      </c>
      <c r="D8" s="17" t="str">
        <f>IF('Пшеница мягкая 28 сен'!F8="","",'Пшеница мягкая 28 сен'!F8-'Пшеница мягкая 28 сен'!#REF!)</f>
        <v/>
      </c>
      <c r="E8" s="18">
        <f>'Пшеница мягкая 28 сен'!F8</f>
        <v>0</v>
      </c>
      <c r="F8" s="17" t="e">
        <f>IF('Пшеница мягкая 28 сен'!H8=0,"",'Пшеница мягкая 28 сен'!H8-'Пшеница мягкая 28 сен'!#REF!)</f>
        <v>#REF!</v>
      </c>
      <c r="G8" s="18">
        <f>'Пшеница мягкая 28 сен'!H8</f>
        <v>22.306660706303084</v>
      </c>
      <c r="H8" s="17" t="e">
        <f>IF('Пшеница мягкая 28 сен'!J8=0,"",'Пшеница мягкая 28 сен'!J8-'Пшеница мягкая 28 сен'!#REF!)</f>
        <v>#REF!</v>
      </c>
      <c r="I8" s="18">
        <f>'Пшеница мягкая 28 сен'!J8</f>
        <v>46.401430487259724</v>
      </c>
      <c r="J8" s="17" t="e">
        <f>IF('Пшеница мягкая 28 сен'!L8=0,"",'Пшеница мягкая 28 сен'!L8-'Пшеница мягкая 28 сен'!#REF!)</f>
        <v>#REF!</v>
      </c>
      <c r="K8" s="18">
        <f>'Пшеница мягкая 28 сен'!L8</f>
        <v>68.708091193562808</v>
      </c>
      <c r="L8" s="17" t="e">
        <f>IF('Пшеница мягкая 28 сен'!N8=0,"",'Пшеница мягкая 28 сен'!N8-'Пшеница мягкая 28 сен'!#REF!)</f>
        <v>#REF!</v>
      </c>
      <c r="M8" s="18">
        <f>'Пшеница мягкая 28 сен'!N8</f>
        <v>31.291908806437192</v>
      </c>
      <c r="N8" s="17" t="str">
        <f>IF(OR('Пшеница мягкая 28 сен'!P8="",'Пшеница мягкая 28 сен'!P8=0),"",'Пшеница мягкая 28 сен'!P8-'Пшеница мягкая 28 сен'!#REF!)</f>
        <v/>
      </c>
      <c r="O8" s="18">
        <f>'Пшеница мягкая 28 сен'!P8</f>
        <v>0</v>
      </c>
      <c r="P8" s="2"/>
      <c r="Q8" s="2"/>
      <c r="R8" s="2"/>
      <c r="S8" s="2"/>
      <c r="T8" s="2"/>
    </row>
    <row r="9" spans="1:21" ht="20.25" x14ac:dyDescent="0.25">
      <c r="A9" s="11" t="str">
        <f>'Пшеница мягкая 28 сен'!A9</f>
        <v>Волгоградская область</v>
      </c>
      <c r="B9" s="17" t="e">
        <f>IF('Пшеница мягкая 28 сен'!D9="","",'Пшеница мягкая 28 сен'!D9-'Пшеница мягкая 28 сен'!#REF!)</f>
        <v>#REF!</v>
      </c>
      <c r="C9" s="18">
        <f>'Пшеница мягкая 28 сен'!D9</f>
        <v>0</v>
      </c>
      <c r="D9" s="17" t="e">
        <f>IF('Пшеница мягкая 28 сен'!F9="","",'Пшеница мягкая 28 сен'!F9-'Пшеница мягкая 28 сен'!#REF!)</f>
        <v>#REF!</v>
      </c>
      <c r="E9" s="18">
        <f>'Пшеница мягкая 28 сен'!F9</f>
        <v>0</v>
      </c>
      <c r="F9" s="17" t="e">
        <f>IF('Пшеница мягкая 28 сен'!H9=0,"",'Пшеница мягкая 28 сен'!H9-'Пшеница мягкая 28 сен'!#REF!)</f>
        <v>#REF!</v>
      </c>
      <c r="G9" s="18">
        <f>'Пшеница мягкая 28 сен'!H9</f>
        <v>35.738470314220152</v>
      </c>
      <c r="H9" s="17" t="e">
        <f>IF('Пшеница мягкая 28 сен'!J9=0,"",'Пшеница мягкая 28 сен'!J9-'Пшеница мягкая 28 сен'!#REF!)</f>
        <v>#REF!</v>
      </c>
      <c r="I9" s="18">
        <f>'Пшеница мягкая 28 сен'!J9</f>
        <v>46.508100260105657</v>
      </c>
      <c r="J9" s="17" t="e">
        <f>IF('Пшеница мягкая 28 сен'!L9=0,"",'Пшеница мягкая 28 сен'!L9-'Пшеница мягкая 28 сен'!#REF!)</f>
        <v>#REF!</v>
      </c>
      <c r="K9" s="18">
        <f>'Пшеница мягкая 28 сен'!L9</f>
        <v>82.246570574325816</v>
      </c>
      <c r="L9" s="17" t="e">
        <f>IF('Пшеница мягкая 28 сен'!N9=0,"",'Пшеница мягкая 28 сен'!N9-'Пшеница мягкая 28 сен'!#REF!)</f>
        <v>#REF!</v>
      </c>
      <c r="M9" s="18">
        <f>'Пшеница мягкая 28 сен'!N9</f>
        <v>17.753429425674199</v>
      </c>
      <c r="N9" s="17" t="str">
        <f>IF(OR('Пшеница мягкая 28 сен'!P9="",'Пшеница мягкая 28 сен'!P9=0),"",'Пшеница мягкая 28 сен'!P9-'Пшеница мягкая 28 сен'!#REF!)</f>
        <v/>
      </c>
      <c r="O9" s="18">
        <f>'Пшеница мягкая 28 сен'!P9</f>
        <v>0</v>
      </c>
    </row>
    <row r="10" spans="1:21" ht="20.25" x14ac:dyDescent="0.25">
      <c r="A10" s="11" t="str">
        <f>'Пшеница мягкая 28 сен'!A10</f>
        <v>Ростовская область</v>
      </c>
      <c r="B10" s="17" t="e">
        <f>IF('Пшеница мягкая 28 сен'!D10="","",'Пшеница мягкая 28 сен'!D10-'Пшеница мягкая 28 сен'!#REF!)</f>
        <v>#REF!</v>
      </c>
      <c r="C10" s="18">
        <f>'Пшеница мягкая 28 сен'!D10</f>
        <v>0</v>
      </c>
      <c r="D10" s="17" t="e">
        <f>IF('Пшеница мягкая 28 сен'!F10="","",'Пшеница мягкая 28 сен'!F10-'Пшеница мягкая 28 сен'!#REF!)</f>
        <v>#REF!</v>
      </c>
      <c r="E10" s="18">
        <f>'Пшеница мягкая 28 сен'!F10</f>
        <v>0</v>
      </c>
      <c r="F10" s="17" t="e">
        <f>IF('Пшеница мягкая 28 сен'!H10=0,"",'Пшеница мягкая 28 сен'!H10-'Пшеница мягкая 28 сен'!#REF!)</f>
        <v>#REF!</v>
      </c>
      <c r="G10" s="18">
        <f>'Пшеница мягкая 28 сен'!H10</f>
        <v>35.703035412691598</v>
      </c>
      <c r="H10" s="17" t="e">
        <f>IF('Пшеница мягкая 28 сен'!J10=0,"",'Пшеница мягкая 28 сен'!J10-'Пшеница мягкая 28 сен'!#REF!)</f>
        <v>#REF!</v>
      </c>
      <c r="I10" s="18">
        <f>'Пшеница мягкая 28 сен'!J10</f>
        <v>46.837956892755734</v>
      </c>
      <c r="J10" s="17" t="e">
        <f>IF('Пшеница мягкая 28 сен'!L10=0,"",'Пшеница мягкая 28 сен'!L10-'Пшеница мягкая 28 сен'!#REF!)</f>
        <v>#REF!</v>
      </c>
      <c r="K10" s="18">
        <f>'Пшеница мягкая 28 сен'!L10</f>
        <v>82.540992305447332</v>
      </c>
      <c r="L10" s="17" t="e">
        <f>IF('Пшеница мягкая 28 сен'!N10=0,"",'Пшеница мягкая 28 сен'!N10-'Пшеница мягкая 28 сен'!#REF!)</f>
        <v>#REF!</v>
      </c>
      <c r="M10" s="18">
        <f>'Пшеница мягкая 28 сен'!N10</f>
        <v>17.459007694552653</v>
      </c>
      <c r="N10" s="17" t="str">
        <f>IF(OR('Пшеница мягкая 28 сен'!P10="",'Пшеница мягкая 28 сен'!P10=0),"",'Пшеница мягкая 28 сен'!P10-'Пшеница мягкая 28 сен'!#REF!)</f>
        <v/>
      </c>
      <c r="O10" s="18">
        <f>'Пшеница мягкая 28 сен'!P10</f>
        <v>0</v>
      </c>
    </row>
    <row r="11" spans="1:21" ht="20.25" x14ac:dyDescent="0.25">
      <c r="A11" s="11" t="e">
        <f>'Пшеница мягкая 28 сен'!#REF!</f>
        <v>#REF!</v>
      </c>
      <c r="B11" s="17" t="e">
        <f>IF('Пшеница мягкая 28 сен'!#REF!="","",'Пшеница мягкая 28 сен'!#REF!-'Пшеница мягкая 28 сен'!#REF!)</f>
        <v>#REF!</v>
      </c>
      <c r="C11" s="18" t="e">
        <f>'Пшеница мягкая 28 сен'!#REF!</f>
        <v>#REF!</v>
      </c>
      <c r="D11" s="17" t="e">
        <f>IF('Пшеница мягкая 28 сен'!#REF!="","",'Пшеница мягкая 28 сен'!#REF!-'Пшеница мягкая 28 сен'!#REF!)</f>
        <v>#REF!</v>
      </c>
      <c r="E11" s="18" t="e">
        <f>'Пшеница мягкая 28 сен'!#REF!</f>
        <v>#REF!</v>
      </c>
      <c r="F11" s="17" t="e">
        <f>IF('Пшеница мягкая 28 сен'!#REF!=0,"",'Пшеница мягкая 28 сен'!#REF!-'Пшеница мягкая 28 сен'!#REF!)</f>
        <v>#REF!</v>
      </c>
      <c r="G11" s="18" t="e">
        <f>'Пшеница мягкая 28 сен'!#REF!</f>
        <v>#REF!</v>
      </c>
      <c r="H11" s="17" t="e">
        <f>IF('Пшеница мягкая 28 сен'!#REF!=0,"",'Пшеница мягкая 28 сен'!#REF!-'Пшеница мягкая 28 сен'!#REF!)</f>
        <v>#REF!</v>
      </c>
      <c r="I11" s="18" t="e">
        <f>'Пшеница мягкая 28 сен'!#REF!</f>
        <v>#REF!</v>
      </c>
      <c r="J11" s="17" t="e">
        <f>IF('Пшеница мягкая 28 сен'!#REF!=0,"",'Пшеница мягкая 28 сен'!#REF!-'Пшеница мягкая 28 сен'!#REF!)</f>
        <v>#REF!</v>
      </c>
      <c r="K11" s="18" t="e">
        <f>'Пшеница мягкая 28 сен'!#REF!</f>
        <v>#REF!</v>
      </c>
      <c r="L11" s="17" t="e">
        <f>IF('Пшеница мягкая 28 сен'!#REF!=0,"",'Пшеница мягкая 28 сен'!#REF!-'Пшеница мягкая 28 сен'!#REF!)</f>
        <v>#REF!</v>
      </c>
      <c r="M11" s="18" t="e">
        <f>'Пшеница мягкая 28 сен'!#REF!</f>
        <v>#REF!</v>
      </c>
      <c r="N11" s="17" t="e">
        <f>IF(OR('Пшеница мягкая 28 сен'!#REF!="",'Пшеница мягкая 28 сен'!#REF!=0),"",'Пшеница мягкая 28 сен'!#REF!-'Пшеница мягкая 28 сен'!#REF!)</f>
        <v>#REF!</v>
      </c>
      <c r="O11" s="18" t="e">
        <f>'Пшеница мягкая 28 сен'!#REF!</f>
        <v>#REF!</v>
      </c>
    </row>
    <row r="12" spans="1:21" ht="20.25" x14ac:dyDescent="0.25">
      <c r="A12" s="11" t="e">
        <f>'Пшеница мягкая 28 сен'!#REF!</f>
        <v>#REF!</v>
      </c>
      <c r="B12" s="17" t="e">
        <f>IF('Пшеница мягкая 28 сен'!#REF!="","",'Пшеница мягкая 28 сен'!#REF!-'Пшеница мягкая 28 сен'!#REF!)</f>
        <v>#REF!</v>
      </c>
      <c r="C12" s="18" t="e">
        <f>'Пшеница мягкая 28 сен'!#REF!</f>
        <v>#REF!</v>
      </c>
      <c r="D12" s="17" t="e">
        <f>IF('Пшеница мягкая 28 сен'!#REF!="","",'Пшеница мягкая 28 сен'!#REF!-'Пшеница мягкая 28 сен'!#REF!)</f>
        <v>#REF!</v>
      </c>
      <c r="E12" s="18" t="e">
        <f>'Пшеница мягкая 28 сен'!#REF!</f>
        <v>#REF!</v>
      </c>
      <c r="F12" s="17" t="e">
        <f>IF('Пшеница мягкая 28 сен'!#REF!=0,"",'Пшеница мягкая 28 сен'!#REF!-'Пшеница мягкая 28 сен'!#REF!)</f>
        <v>#REF!</v>
      </c>
      <c r="G12" s="18" t="e">
        <f>'Пшеница мягкая 28 сен'!#REF!</f>
        <v>#REF!</v>
      </c>
      <c r="H12" s="17" t="e">
        <f>IF('Пшеница мягкая 28 сен'!#REF!=0,"",'Пшеница мягкая 28 сен'!#REF!-'Пшеница мягкая 28 сен'!#REF!)</f>
        <v>#REF!</v>
      </c>
      <c r="I12" s="18" t="e">
        <f>'Пшеница мягкая 28 сен'!#REF!</f>
        <v>#REF!</v>
      </c>
      <c r="J12" s="17" t="e">
        <f>IF('Пшеница мягкая 28 сен'!#REF!=0,"",'Пшеница мягкая 28 сен'!#REF!-'Пшеница мягкая 28 сен'!#REF!)</f>
        <v>#REF!</v>
      </c>
      <c r="K12" s="18" t="e">
        <f>'Пшеница мягкая 28 сен'!#REF!</f>
        <v>#REF!</v>
      </c>
      <c r="L12" s="17" t="e">
        <f>IF('Пшеница мягкая 28 сен'!#REF!=0,"",'Пшеница мягкая 28 сен'!#REF!-'Пшеница мягкая 28 сен'!#REF!)</f>
        <v>#REF!</v>
      </c>
      <c r="M12" s="18" t="e">
        <f>'Пшеница мягкая 28 сен'!#REF!</f>
        <v>#REF!</v>
      </c>
      <c r="N12" s="17" t="e">
        <f>IF(OR('Пшеница мягкая 28 сен'!#REF!="",'Пшеница мягкая 28 сен'!#REF!=0),"",'Пшеница мягкая 28 сен'!#REF!-'Пшеница мягкая 28 сен'!#REF!)</f>
        <v>#REF!</v>
      </c>
      <c r="O12" s="18" t="e">
        <f>'Пшеница мягкая 28 сен'!#REF!</f>
        <v>#REF!</v>
      </c>
    </row>
    <row r="13" spans="1:21" ht="20.25" x14ac:dyDescent="0.25">
      <c r="A13" s="11" t="e">
        <f>'Пшеница мягкая 28 сен'!#REF!</f>
        <v>#REF!</v>
      </c>
      <c r="B13" s="17" t="e">
        <f>IF('Пшеница мягкая 28 сен'!#REF!="","",'Пшеница мягкая 28 сен'!#REF!-'Пшеница мягкая 28 сен'!#REF!)</f>
        <v>#REF!</v>
      </c>
      <c r="C13" s="18" t="e">
        <f>'Пшеница мягкая 28 сен'!#REF!</f>
        <v>#REF!</v>
      </c>
      <c r="D13" s="17" t="e">
        <f>IF('Пшеница мягкая 28 сен'!#REF!="","",'Пшеница мягкая 28 сен'!#REF!-'Пшеница мягкая 28 сен'!#REF!)</f>
        <v>#REF!</v>
      </c>
      <c r="E13" s="18" t="e">
        <f>'Пшеница мягкая 28 сен'!#REF!</f>
        <v>#REF!</v>
      </c>
      <c r="F13" s="17" t="e">
        <f>IF('Пшеница мягкая 28 сен'!#REF!="","",'Пшеница мягкая 28 сен'!#REF!-'Пшеница мягкая 28 сен'!#REF!)</f>
        <v>#REF!</v>
      </c>
      <c r="G13" s="18" t="e">
        <f>'Пшеница мягкая 28 сен'!#REF!</f>
        <v>#REF!</v>
      </c>
      <c r="H13" s="17" t="e">
        <f>IF('Пшеница мягкая 28 сен'!#REF!=0,"",'Пшеница мягкая 28 сен'!#REF!-'Пшеница мягкая 28 сен'!#REF!)</f>
        <v>#REF!</v>
      </c>
      <c r="I13" s="18" t="e">
        <f>'Пшеница мягкая 28 сен'!#REF!</f>
        <v>#REF!</v>
      </c>
      <c r="J13" s="17" t="e">
        <f>IF('Пшеница мягкая 28 сен'!#REF!=0,"",'Пшеница мягкая 28 сен'!#REF!-'Пшеница мягкая 28 сен'!#REF!)</f>
        <v>#REF!</v>
      </c>
      <c r="K13" s="18" t="e">
        <f>'Пшеница мягкая 28 сен'!#REF!</f>
        <v>#REF!</v>
      </c>
      <c r="L13" s="17" t="e">
        <f>IF('Пшеница мягкая 28 сен'!#REF!=0,"",'Пшеница мягкая 28 сен'!#REF!-'Пшеница мягкая 28 сен'!#REF!)</f>
        <v>#REF!</v>
      </c>
      <c r="M13" s="18" t="e">
        <f>'Пшеница мягкая 28 сен'!#REF!</f>
        <v>#REF!</v>
      </c>
      <c r="N13" s="17" t="e">
        <f>IF(OR('Пшеница мягкая 28 сен'!#REF!="",'Пшеница мягкая 28 сен'!#REF!=0),"",'Пшеница мягкая 28 сен'!#REF!-'Пшеница мягкая 28 сен'!#REF!)</f>
        <v>#REF!</v>
      </c>
      <c r="O13" s="18" t="e">
        <f>'Пшеница мягкая 28 сен'!#REF!</f>
        <v>#REF!</v>
      </c>
    </row>
    <row r="14" spans="1:21" ht="20.25" x14ac:dyDescent="0.25">
      <c r="A14" s="13" t="e">
        <f>'Пшеница мягкая 28 сен'!#REF!</f>
        <v>#REF!</v>
      </c>
      <c r="B14" s="12" t="e">
        <f>IF('Пшеница мягкая 28 сен'!#REF!="","",'Пшеница мягкая 28 сен'!#REF!-'Пшеница мягкая 28 сен'!#REF!)</f>
        <v>#REF!</v>
      </c>
      <c r="C14" s="14" t="e">
        <f>'Пшеница мягкая 28 сен'!#REF!</f>
        <v>#REF!</v>
      </c>
      <c r="D14" s="12" t="e">
        <f>IF('Пшеница мягкая 28 сен'!#REF!="","",'Пшеница мягкая 28 сен'!#REF!-'Пшеница мягкая 28 сен'!#REF!)</f>
        <v>#REF!</v>
      </c>
      <c r="E14" s="14" t="e">
        <f>'Пшеница мягкая 28 сен'!#REF!</f>
        <v>#REF!</v>
      </c>
      <c r="F14" s="12" t="e">
        <f>IF('Пшеница мягкая 28 сен'!#REF!=0,"",'Пшеница мягкая 28 сен'!#REF!-'Пшеница мягкая 28 сен'!#REF!)</f>
        <v>#REF!</v>
      </c>
      <c r="G14" s="14" t="e">
        <f>'Пшеница мягкая 28 сен'!#REF!</f>
        <v>#REF!</v>
      </c>
      <c r="H14" s="12" t="e">
        <f>IF('Пшеница мягкая 28 сен'!#REF!=0,"",'Пшеница мягкая 28 сен'!#REF!-'Пшеница мягкая 28 сен'!#REF!)</f>
        <v>#REF!</v>
      </c>
      <c r="I14" s="14" t="e">
        <f>'Пшеница мягкая 28 сен'!#REF!</f>
        <v>#REF!</v>
      </c>
      <c r="J14" s="12" t="e">
        <f>IF('Пшеница мягкая 28 сен'!#REF!=0,"",'Пшеница мягкая 28 сен'!#REF!-'Пшеница мягкая 28 сен'!#REF!)</f>
        <v>#REF!</v>
      </c>
      <c r="K14" s="14" t="e">
        <f>'Пшеница мягкая 28 сен'!#REF!</f>
        <v>#REF!</v>
      </c>
      <c r="L14" s="12" t="e">
        <f>IF('Пшеница мягкая 28 сен'!#REF!=0,"",'Пшеница мягкая 28 сен'!#REF!-'Пшеница мягкая 28 сен'!#REF!)</f>
        <v>#REF!</v>
      </c>
      <c r="M14" s="14" t="e">
        <f>'Пшеница мягкая 28 сен'!#REF!</f>
        <v>#REF!</v>
      </c>
      <c r="N14" s="12" t="e">
        <f>IF(OR('Пшеница мягкая 28 сен'!#REF!="",'Пшеница мягкая 28 сен'!#REF!=0),"",'Пшеница мягкая 28 сен'!#REF!-'Пшеница мягкая 28 сен'!#REF!)</f>
        <v>#REF!</v>
      </c>
      <c r="O14" s="14" t="e">
        <f>'Пшеница мягкая 28 сен'!#REF!</f>
        <v>#REF!</v>
      </c>
    </row>
    <row r="15" spans="1:21" ht="20.25" x14ac:dyDescent="0.25">
      <c r="A15" s="11" t="e">
        <f>'Пшеница мягкая 28 сен'!#REF!</f>
        <v>#REF!</v>
      </c>
      <c r="B15" s="17" t="e">
        <f>IF('Пшеница мягкая 28 сен'!#REF!="","",'Пшеница мягкая 28 сен'!#REF!-'Пшеница мягкая 28 сен'!#REF!)</f>
        <v>#REF!</v>
      </c>
      <c r="C15" s="18" t="e">
        <f>'Пшеница мягкая 28 сен'!#REF!</f>
        <v>#REF!</v>
      </c>
      <c r="D15" s="17" t="e">
        <f>IF('Пшеница мягкая 28 сен'!#REF!="","",'Пшеница мягкая 28 сен'!#REF!-'Пшеница мягкая 28 сен'!#REF!)</f>
        <v>#REF!</v>
      </c>
      <c r="E15" s="18" t="e">
        <f>'Пшеница мягкая 28 сен'!#REF!</f>
        <v>#REF!</v>
      </c>
      <c r="F15" s="17" t="e">
        <f>IF('Пшеница мягкая 28 сен'!#REF!=0,"",'Пшеница мягкая 28 сен'!#REF!-'Пшеница мягкая 28 сен'!#REF!)</f>
        <v>#REF!</v>
      </c>
      <c r="G15" s="18" t="e">
        <f>'Пшеница мягкая 28 сен'!#REF!</f>
        <v>#REF!</v>
      </c>
      <c r="H15" s="17" t="e">
        <f>IF('Пшеница мягкая 28 сен'!#REF!=0,"",'Пшеница мягкая 28 сен'!#REF!-'Пшеница мягкая 28 сен'!#REF!)</f>
        <v>#REF!</v>
      </c>
      <c r="I15" s="18" t="e">
        <f>'Пшеница мягкая 28 сен'!#REF!</f>
        <v>#REF!</v>
      </c>
      <c r="J15" s="17" t="e">
        <f>IF('Пшеница мягкая 28 сен'!#REF!=0,"",'Пшеница мягкая 28 сен'!#REF!-'Пшеница мягкая 28 сен'!#REF!)</f>
        <v>#REF!</v>
      </c>
      <c r="K15" s="18" t="e">
        <f>'Пшеница мягкая 28 сен'!#REF!</f>
        <v>#REF!</v>
      </c>
      <c r="L15" s="17" t="e">
        <f>IF('Пшеница мягкая 28 сен'!#REF!=0,"",'Пшеница мягкая 28 сен'!#REF!-'Пшеница мягкая 28 сен'!#REF!)</f>
        <v>#REF!</v>
      </c>
      <c r="M15" s="18" t="e">
        <f>'Пшеница мягкая 28 сен'!#REF!</f>
        <v>#REF!</v>
      </c>
      <c r="N15" s="17" t="e">
        <f>IF(OR('Пшеница мягкая 28 сен'!#REF!="",'Пшеница мягкая 28 сен'!#REF!=0),"",'Пшеница мягкая 28 сен'!#REF!-'Пшеница мягкая 28 сен'!#REF!)</f>
        <v>#REF!</v>
      </c>
      <c r="O15" s="18" t="e">
        <f>'Пшеница мягкая 28 сен'!#REF!</f>
        <v>#REF!</v>
      </c>
    </row>
    <row r="16" spans="1:21" ht="20.25" x14ac:dyDescent="0.25">
      <c r="A16" s="13" t="e">
        <f>'Пшеница мягкая 28 сен'!#REF!</f>
        <v>#REF!</v>
      </c>
      <c r="B16" s="12" t="e">
        <f>IF('Пшеница мягкая 28 сен'!#REF!="","",'Пшеница мягкая 28 сен'!#REF!-'Пшеница мягкая 28 сен'!#REF!)</f>
        <v>#REF!</v>
      </c>
      <c r="C16" s="14" t="e">
        <f>'Пшеница мягкая 28 сен'!#REF!</f>
        <v>#REF!</v>
      </c>
      <c r="D16" s="12" t="e">
        <f>IF('Пшеница мягкая 28 сен'!#REF!="","",'Пшеница мягкая 28 сен'!#REF!-'Пшеница мягкая 28 сен'!#REF!)</f>
        <v>#REF!</v>
      </c>
      <c r="E16" s="14" t="e">
        <f>'Пшеница мягкая 28 сен'!#REF!</f>
        <v>#REF!</v>
      </c>
      <c r="F16" s="12" t="e">
        <f>IF('Пшеница мягкая 28 сен'!#REF!=0,"",'Пшеница мягкая 28 сен'!#REF!-'Пшеница мягкая 28 сен'!#REF!)</f>
        <v>#REF!</v>
      </c>
      <c r="G16" s="14" t="e">
        <f>'Пшеница мягкая 28 сен'!#REF!</f>
        <v>#REF!</v>
      </c>
      <c r="H16" s="12" t="e">
        <f>IF('Пшеница мягкая 28 сен'!#REF!=0,"",'Пшеница мягкая 28 сен'!#REF!-'Пшеница мягкая 28 сен'!#REF!)</f>
        <v>#REF!</v>
      </c>
      <c r="I16" s="14" t="e">
        <f>'Пшеница мягкая 28 сен'!#REF!</f>
        <v>#REF!</v>
      </c>
      <c r="J16" s="12" t="e">
        <f>IF('Пшеница мягкая 28 сен'!#REF!=0,"",'Пшеница мягкая 28 сен'!#REF!-'Пшеница мягкая 28 сен'!#REF!)</f>
        <v>#REF!</v>
      </c>
      <c r="K16" s="14" t="e">
        <f>'Пшеница мягкая 28 сен'!#REF!</f>
        <v>#REF!</v>
      </c>
      <c r="L16" s="12" t="e">
        <f>IF('Пшеница мягкая 28 сен'!#REF!=0,"",'Пшеница мягкая 28 сен'!#REF!-'Пшеница мягкая 28 сен'!#REF!)</f>
        <v>#REF!</v>
      </c>
      <c r="M16" s="14" t="e">
        <f>'Пшеница мягкая 28 сен'!#REF!</f>
        <v>#REF!</v>
      </c>
      <c r="N16" s="12" t="e">
        <f>IF(OR('Пшеница мягкая 28 сен'!#REF!="",'Пшеница мягкая 28 сен'!#REF!=0),"",'Пшеница мягкая 28 сен'!#REF!-'Пшеница мягкая 28 сен'!#REF!)</f>
        <v>#REF!</v>
      </c>
      <c r="O16" s="14" t="e">
        <f>'Пшеница мягкая 28 сен'!#REF!</f>
        <v>#REF!</v>
      </c>
    </row>
    <row r="17" spans="1:15" ht="20.25" x14ac:dyDescent="0.25">
      <c r="A17" s="11" t="e">
        <f>'Пшеница мягкая 28 сен'!#REF!</f>
        <v>#REF!</v>
      </c>
      <c r="B17" s="17" t="e">
        <f>IF('Пшеница мягкая 28 сен'!#REF!="","",'Пшеница мягкая 28 сен'!#REF!-'Пшеница мягкая 28 сен'!#REF!)</f>
        <v>#REF!</v>
      </c>
      <c r="C17" s="18" t="e">
        <f>'Пшеница мягкая 28 сен'!#REF!</f>
        <v>#REF!</v>
      </c>
      <c r="D17" s="17" t="e">
        <f>IF('Пшеница мягкая 28 сен'!#REF!="","",'Пшеница мягкая 28 сен'!#REF!-'Пшеница мягкая 28 сен'!#REF!)</f>
        <v>#REF!</v>
      </c>
      <c r="E17" s="18" t="e">
        <f>'Пшеница мягкая 28 сен'!#REF!</f>
        <v>#REF!</v>
      </c>
      <c r="F17" s="17" t="e">
        <f>IF('Пшеница мягкая 28 сен'!#REF!=0,"",'Пшеница мягкая 28 сен'!#REF!-'Пшеница мягкая 28 сен'!#REF!)</f>
        <v>#REF!</v>
      </c>
      <c r="G17" s="18" t="e">
        <f>'Пшеница мягкая 28 сен'!#REF!</f>
        <v>#REF!</v>
      </c>
      <c r="H17" s="17" t="e">
        <f>IF('Пшеница мягкая 28 сен'!#REF!=0,"",'Пшеница мягкая 28 сен'!#REF!-'Пшеница мягкая 28 сен'!#REF!)</f>
        <v>#REF!</v>
      </c>
      <c r="I17" s="18" t="e">
        <f>'Пшеница мягкая 28 сен'!#REF!</f>
        <v>#REF!</v>
      </c>
      <c r="J17" s="17" t="e">
        <f>IF('Пшеница мягкая 28 сен'!#REF!=0,"",'Пшеница мягкая 28 сен'!#REF!-'Пшеница мягкая 28 сен'!#REF!)</f>
        <v>#REF!</v>
      </c>
      <c r="K17" s="18" t="e">
        <f>'Пшеница мягкая 28 сен'!#REF!</f>
        <v>#REF!</v>
      </c>
      <c r="L17" s="17" t="e">
        <f>IF('Пшеница мягкая 28 сен'!#REF!=0,"",'Пшеница мягкая 28 сен'!#REF!-'Пшеница мягкая 28 сен'!#REF!)</f>
        <v>#REF!</v>
      </c>
      <c r="M17" s="18" t="e">
        <f>'Пшеница мягкая 28 сен'!#REF!</f>
        <v>#REF!</v>
      </c>
      <c r="N17" s="17" t="e">
        <f>IF(OR('Пшеница мягкая 28 сен'!#REF!="",'Пшеница мягкая 28 сен'!#REF!=0),"",'Пшеница мягкая 28 сен'!#REF!-'Пшеница мягкая 28 сен'!#REF!)</f>
        <v>#REF!</v>
      </c>
      <c r="O17" s="18" t="e">
        <f>'Пшеница мягкая 28 сен'!#REF!</f>
        <v>#REF!</v>
      </c>
    </row>
    <row r="18" spans="1:15" ht="20.25" x14ac:dyDescent="0.25">
      <c r="A18" s="11" t="e">
        <f>'Пшеница мягкая 28 сен'!#REF!</f>
        <v>#REF!</v>
      </c>
      <c r="B18" s="17" t="e">
        <f>IF('Пшеница мягкая 28 сен'!#REF!="","",'Пшеница мягкая 28 сен'!#REF!-'Пшеница мягкая 28 сен'!#REF!)</f>
        <v>#REF!</v>
      </c>
      <c r="C18" s="18" t="e">
        <f>'Пшеница мягкая 28 сен'!#REF!</f>
        <v>#REF!</v>
      </c>
      <c r="D18" s="17" t="e">
        <f>IF('Пшеница мягкая 28 сен'!#REF!="","",'Пшеница мягкая 28 сен'!#REF!-'Пшеница мягкая 28 сен'!#REF!)</f>
        <v>#REF!</v>
      </c>
      <c r="E18" s="18" t="e">
        <f>'Пшеница мягкая 28 сен'!#REF!</f>
        <v>#REF!</v>
      </c>
      <c r="F18" s="17" t="e">
        <f>IF('Пшеница мягкая 28 сен'!#REF!=0,"",'Пшеница мягкая 28 сен'!#REF!-'Пшеница мягкая 28 сен'!#REF!)</f>
        <v>#REF!</v>
      </c>
      <c r="G18" s="18" t="e">
        <f>'Пшеница мягкая 28 сен'!#REF!</f>
        <v>#REF!</v>
      </c>
      <c r="H18" s="17" t="e">
        <f>IF('Пшеница мягкая 28 сен'!#REF!=0,"",'Пшеница мягкая 28 сен'!#REF!-'Пшеница мягкая 28 сен'!#REF!)</f>
        <v>#REF!</v>
      </c>
      <c r="I18" s="18" t="e">
        <f>'Пшеница мягкая 28 сен'!#REF!</f>
        <v>#REF!</v>
      </c>
      <c r="J18" s="17" t="e">
        <f>IF('Пшеница мягкая 28 сен'!#REF!=0,"",'Пшеница мягкая 28 сен'!#REF!-'Пшеница мягкая 28 сен'!#REF!)</f>
        <v>#REF!</v>
      </c>
      <c r="K18" s="18" t="e">
        <f>'Пшеница мягкая 28 сен'!#REF!</f>
        <v>#REF!</v>
      </c>
      <c r="L18" s="17" t="e">
        <f>IF('Пшеница мягкая 28 сен'!#REF!=0,"",'Пшеница мягкая 28 сен'!#REF!-'Пшеница мягкая 28 сен'!#REF!)</f>
        <v>#REF!</v>
      </c>
      <c r="M18" s="18" t="e">
        <f>'Пшеница мягкая 28 сен'!#REF!</f>
        <v>#REF!</v>
      </c>
      <c r="N18" s="17" t="e">
        <f>IF(OR('Пшеница мягкая 28 сен'!#REF!="",'Пшеница мягкая 28 сен'!#REF!=0),"",'Пшеница мягкая 28 сен'!#REF!-'Пшеница мягкая 28 сен'!#REF!)</f>
        <v>#REF!</v>
      </c>
      <c r="O18" s="18" t="e">
        <f>'Пшеница мягкая 28 сен'!#REF!</f>
        <v>#REF!</v>
      </c>
    </row>
    <row r="19" spans="1:15" ht="20.25" x14ac:dyDescent="0.25">
      <c r="A19" s="11" t="e">
        <f>'Пшеница мягкая 28 сен'!#REF!</f>
        <v>#REF!</v>
      </c>
      <c r="B19" s="17" t="e">
        <f>IF('Пшеница мягкая 28 сен'!#REF!="","",'Пшеница мягкая 28 сен'!#REF!-'Пшеница мягкая 28 сен'!#REF!)</f>
        <v>#REF!</v>
      </c>
      <c r="C19" s="18" t="e">
        <f>'Пшеница мягкая 28 сен'!#REF!</f>
        <v>#REF!</v>
      </c>
      <c r="D19" s="17" t="e">
        <f>IF('Пшеница мягкая 28 сен'!#REF!="","",'Пшеница мягкая 28 сен'!#REF!-'Пшеница мягкая 28 сен'!#REF!)</f>
        <v>#REF!</v>
      </c>
      <c r="E19" s="18" t="e">
        <f>'Пшеница мягкая 28 сен'!#REF!</f>
        <v>#REF!</v>
      </c>
      <c r="F19" s="17" t="e">
        <f>IF('Пшеница мягкая 28 сен'!#REF!=0,"",'Пшеница мягкая 28 сен'!#REF!-'Пшеница мягкая 28 сен'!#REF!)</f>
        <v>#REF!</v>
      </c>
      <c r="G19" s="18" t="e">
        <f>'Пшеница мягкая 28 сен'!#REF!</f>
        <v>#REF!</v>
      </c>
      <c r="H19" s="17" t="e">
        <f>IF('Пшеница мягкая 28 сен'!#REF!=0,"",'Пшеница мягкая 28 сен'!#REF!-'Пшеница мягкая 28 сен'!#REF!)</f>
        <v>#REF!</v>
      </c>
      <c r="I19" s="18" t="e">
        <f>'Пшеница мягкая 28 сен'!#REF!</f>
        <v>#REF!</v>
      </c>
      <c r="J19" s="17" t="e">
        <f>IF('Пшеница мягкая 28 сен'!#REF!=0,"",'Пшеница мягкая 28 сен'!#REF!-'Пшеница мягкая 28 сен'!#REF!)</f>
        <v>#REF!</v>
      </c>
      <c r="K19" s="18" t="e">
        <f>'Пшеница мягкая 28 сен'!#REF!</f>
        <v>#REF!</v>
      </c>
      <c r="L19" s="17" t="e">
        <f>IF('Пшеница мягкая 28 сен'!#REF!=0,"",'Пшеница мягкая 28 сен'!#REF!-'Пшеница мягкая 28 сен'!#REF!)</f>
        <v>#REF!</v>
      </c>
      <c r="M19" s="18" t="e">
        <f>'Пшеница мягкая 28 сен'!#REF!</f>
        <v>#REF!</v>
      </c>
      <c r="N19" s="17" t="e">
        <f>IF(OR('Пшеница мягкая 28 сен'!#REF!="",'Пшеница мягкая 28 сен'!#REF!=0),"",'Пшеница мягкая 28 сен'!#REF!-'Пшеница мягкая 28 сен'!#REF!)</f>
        <v>#REF!</v>
      </c>
      <c r="O19" s="18" t="e">
        <f>'Пшеница мягкая 28 сен'!#REF!</f>
        <v>#REF!</v>
      </c>
    </row>
    <row r="20" spans="1:15" ht="20.25" x14ac:dyDescent="0.25">
      <c r="A20" s="11" t="e">
        <f>'Пшеница мягкая 28 сен'!#REF!</f>
        <v>#REF!</v>
      </c>
      <c r="B20" s="17" t="e">
        <f>IF('Пшеница мягкая 28 сен'!#REF!="","",'Пшеница мягкая 28 сен'!#REF!-'Пшеница мягкая 28 сен'!#REF!)</f>
        <v>#REF!</v>
      </c>
      <c r="C20" s="18" t="e">
        <f>'Пшеница мягкая 28 сен'!#REF!</f>
        <v>#REF!</v>
      </c>
      <c r="D20" s="17" t="e">
        <f>IF('Пшеница мягкая 28 сен'!#REF!="","",'Пшеница мягкая 28 сен'!#REF!-'Пшеница мягкая 28 сен'!#REF!)</f>
        <v>#REF!</v>
      </c>
      <c r="E20" s="18" t="e">
        <f>'Пшеница мягкая 28 сен'!#REF!</f>
        <v>#REF!</v>
      </c>
      <c r="F20" s="17" t="e">
        <f>IF('Пшеница мягкая 28 сен'!#REF!=0,"",'Пшеница мягкая 28 сен'!#REF!-'Пшеница мягкая 28 сен'!#REF!)</f>
        <v>#REF!</v>
      </c>
      <c r="G20" s="18" t="e">
        <f>'Пшеница мягкая 28 сен'!#REF!</f>
        <v>#REF!</v>
      </c>
      <c r="H20" s="17" t="e">
        <f>IF('Пшеница мягкая 28 сен'!#REF!=0,"",'Пшеница мягкая 28 сен'!#REF!-'Пшеница мягкая 28 сен'!#REF!)</f>
        <v>#REF!</v>
      </c>
      <c r="I20" s="18" t="e">
        <f>'Пшеница мягкая 28 сен'!#REF!</f>
        <v>#REF!</v>
      </c>
      <c r="J20" s="17" t="e">
        <f>IF('Пшеница мягкая 28 сен'!#REF!=0,"",'Пшеница мягкая 28 сен'!#REF!-'Пшеница мягкая 28 сен'!#REF!)</f>
        <v>#REF!</v>
      </c>
      <c r="K20" s="18" t="e">
        <f>'Пшеница мягкая 28 сен'!#REF!</f>
        <v>#REF!</v>
      </c>
      <c r="L20" s="17" t="e">
        <f>IF('Пшеница мягкая 28 сен'!#REF!=0,"",'Пшеница мягкая 28 сен'!#REF!-'Пшеница мягкая 28 сен'!#REF!)</f>
        <v>#REF!</v>
      </c>
      <c r="M20" s="18" t="e">
        <f>'Пшеница мягкая 28 сен'!#REF!</f>
        <v>#REF!</v>
      </c>
      <c r="N20" s="17" t="e">
        <f>IF(OR('Пшеница мягкая 28 сен'!#REF!="",'Пшеница мягкая 28 сен'!#REF!=0),"",'Пшеница мягкая 28 сен'!#REF!-'Пшеница мягкая 28 сен'!#REF!)</f>
        <v>#REF!</v>
      </c>
      <c r="O20" s="18" t="e">
        <f>'Пшеница мягкая 28 сен'!#REF!</f>
        <v>#REF!</v>
      </c>
    </row>
    <row r="21" spans="1:15" ht="20.25" x14ac:dyDescent="0.25">
      <c r="A21" s="11" t="e">
        <f>'Пшеница мягкая 28 сен'!#REF!</f>
        <v>#REF!</v>
      </c>
      <c r="B21" s="17" t="e">
        <f>IF('Пшеница мягкая 28 сен'!#REF!="","",'Пшеница мягкая 28 сен'!#REF!-'Пшеница мягкая 28 сен'!#REF!)</f>
        <v>#REF!</v>
      </c>
      <c r="C21" s="18" t="e">
        <f>'Пшеница мягкая 28 сен'!#REF!</f>
        <v>#REF!</v>
      </c>
      <c r="D21" s="17" t="e">
        <f>IF('Пшеница мягкая 28 сен'!#REF!="","",'Пшеница мягкая 28 сен'!#REF!-'Пшеница мягкая 28 сен'!#REF!)</f>
        <v>#REF!</v>
      </c>
      <c r="E21" s="18" t="e">
        <f>'Пшеница мягкая 28 сен'!#REF!</f>
        <v>#REF!</v>
      </c>
      <c r="F21" s="17" t="e">
        <f>IF('Пшеница мягкая 28 сен'!#REF!=0,"",'Пшеница мягкая 28 сен'!#REF!-'Пшеница мягкая 28 сен'!#REF!)</f>
        <v>#REF!</v>
      </c>
      <c r="G21" s="18" t="e">
        <f>'Пшеница мягкая 28 сен'!#REF!</f>
        <v>#REF!</v>
      </c>
      <c r="H21" s="17" t="e">
        <f>IF('Пшеница мягкая 28 сен'!#REF!=0,"",'Пшеница мягкая 28 сен'!#REF!-'Пшеница мягкая 28 сен'!#REF!)</f>
        <v>#REF!</v>
      </c>
      <c r="I21" s="18" t="e">
        <f>'Пшеница мягкая 28 сен'!#REF!</f>
        <v>#REF!</v>
      </c>
      <c r="J21" s="17" t="e">
        <f>IF('Пшеница мягкая 28 сен'!#REF!=0,"",'Пшеница мягкая 28 сен'!#REF!-'Пшеница мягкая 28 сен'!#REF!)</f>
        <v>#REF!</v>
      </c>
      <c r="K21" s="18" t="e">
        <f>'Пшеница мягкая 28 сен'!#REF!</f>
        <v>#REF!</v>
      </c>
      <c r="L21" s="17" t="e">
        <f>IF('Пшеница мягкая 28 сен'!#REF!=0,"",'Пшеница мягкая 28 сен'!#REF!-'Пшеница мягкая 28 сен'!#REF!)</f>
        <v>#REF!</v>
      </c>
      <c r="M21" s="18" t="e">
        <f>'Пшеница мягкая 28 сен'!#REF!</f>
        <v>#REF!</v>
      </c>
      <c r="N21" s="17" t="e">
        <f>IF(OR('Пшеница мягкая 28 сен'!#REF!="",'Пшеница мягкая 28 сен'!#REF!=0),"",'Пшеница мягкая 28 сен'!#REF!-'Пшеница мягкая 28 сен'!#REF!)</f>
        <v>#REF!</v>
      </c>
      <c r="O21" s="18" t="e">
        <f>'Пшеница мягкая 28 сен'!#REF!</f>
        <v>#REF!</v>
      </c>
    </row>
    <row r="22" spans="1:15" ht="20.25" x14ac:dyDescent="0.25">
      <c r="A22" s="11" t="e">
        <f>'Пшеница мягкая 28 сен'!#REF!</f>
        <v>#REF!</v>
      </c>
      <c r="B22" s="17" t="e">
        <f>IF('Пшеница мягкая 28 сен'!#REF!="","",'Пшеница мягкая 28 сен'!#REF!-'Пшеница мягкая 28 сен'!#REF!)</f>
        <v>#REF!</v>
      </c>
      <c r="C22" s="18" t="e">
        <f>'Пшеница мягкая 28 сен'!#REF!</f>
        <v>#REF!</v>
      </c>
      <c r="D22" s="17" t="e">
        <f>IF('Пшеница мягкая 28 сен'!#REF!="","",'Пшеница мягкая 28 сен'!#REF!-'Пшеница мягкая 28 сен'!#REF!)</f>
        <v>#REF!</v>
      </c>
      <c r="E22" s="18" t="e">
        <f>'Пшеница мягкая 28 сен'!#REF!</f>
        <v>#REF!</v>
      </c>
      <c r="F22" s="17" t="e">
        <f>IF('Пшеница мягкая 28 сен'!#REF!=0,"",'Пшеница мягкая 28 сен'!#REF!-'Пшеница мягкая 28 сен'!#REF!)</f>
        <v>#REF!</v>
      </c>
      <c r="G22" s="18" t="e">
        <f>'Пшеница мягкая 28 сен'!#REF!</f>
        <v>#REF!</v>
      </c>
      <c r="H22" s="17" t="e">
        <f>IF('Пшеница мягкая 28 сен'!#REF!=0,"",'Пшеница мягкая 28 сен'!#REF!-'Пшеница мягкая 28 сен'!#REF!)</f>
        <v>#REF!</v>
      </c>
      <c r="I22" s="18" t="e">
        <f>'Пшеница мягкая 28 сен'!#REF!</f>
        <v>#REF!</v>
      </c>
      <c r="J22" s="17" t="e">
        <f>IF('Пшеница мягкая 28 сен'!#REF!=0,"",'Пшеница мягкая 28 сен'!#REF!-'Пшеница мягкая 28 сен'!#REF!)</f>
        <v>#REF!</v>
      </c>
      <c r="K22" s="18" t="e">
        <f>'Пшеница мягкая 28 сен'!#REF!</f>
        <v>#REF!</v>
      </c>
      <c r="L22" s="17" t="e">
        <f>IF('Пшеница мягкая 28 сен'!#REF!=0,"",'Пшеница мягкая 28 сен'!#REF!-'Пшеница мягкая 28 сен'!#REF!)</f>
        <v>#REF!</v>
      </c>
      <c r="M22" s="18" t="e">
        <f>'Пшеница мягкая 28 сен'!#REF!</f>
        <v>#REF!</v>
      </c>
      <c r="N22" s="17" t="e">
        <f>IF(OR('Пшеница мягкая 28 сен'!#REF!="",'Пшеница мягкая 28 сен'!#REF!=0),"",'Пшеница мягкая 28 сен'!#REF!-'Пшеница мягкая 28 сен'!#REF!)</f>
        <v>#REF!</v>
      </c>
      <c r="O22" s="18" t="e">
        <f>'Пшеница мягкая 28 сен'!#REF!</f>
        <v>#REF!</v>
      </c>
    </row>
    <row r="23" spans="1:15" ht="20.25" x14ac:dyDescent="0.25">
      <c r="A23" s="11" t="e">
        <f>'Пшеница мягкая 28 сен'!#REF!</f>
        <v>#REF!</v>
      </c>
      <c r="B23" s="17" t="e">
        <f>IF('Пшеница мягкая 28 сен'!#REF!="","",'Пшеница мягкая 28 сен'!#REF!-'Пшеница мягкая 28 сен'!#REF!)</f>
        <v>#REF!</v>
      </c>
      <c r="C23" s="18" t="e">
        <f>'Пшеница мягкая 28 сен'!#REF!</f>
        <v>#REF!</v>
      </c>
      <c r="D23" s="17" t="e">
        <f>IF('Пшеница мягкая 28 сен'!#REF!="","",'Пшеница мягкая 28 сен'!#REF!-'Пшеница мягкая 28 сен'!#REF!)</f>
        <v>#REF!</v>
      </c>
      <c r="E23" s="18" t="e">
        <f>'Пшеница мягкая 28 сен'!#REF!</f>
        <v>#REF!</v>
      </c>
      <c r="F23" s="17" t="e">
        <f>IF('Пшеница мягкая 28 сен'!#REF!="","",'Пшеница мягкая 28 сен'!#REF!-'Пшеница мягкая 28 сен'!#REF!)</f>
        <v>#REF!</v>
      </c>
      <c r="G23" s="18" t="e">
        <f>'Пшеница мягкая 28 сен'!#REF!</f>
        <v>#REF!</v>
      </c>
      <c r="H23" s="17" t="e">
        <f>IF('Пшеница мягкая 28 сен'!#REF!="","",'Пшеница мягкая 28 сен'!#REF!-'Пшеница мягкая 28 сен'!#REF!)</f>
        <v>#REF!</v>
      </c>
      <c r="I23" s="18" t="e">
        <f>'Пшеница мягкая 28 сен'!#REF!</f>
        <v>#REF!</v>
      </c>
      <c r="J23" s="17" t="e">
        <f>IF('Пшеница мягкая 28 сен'!#REF!="","",'Пшеница мягкая 28 сен'!#REF!-'Пшеница мягкая 28 сен'!#REF!)</f>
        <v>#REF!</v>
      </c>
      <c r="K23" s="18" t="e">
        <f>'Пшеница мягкая 28 сен'!#REF!</f>
        <v>#REF!</v>
      </c>
      <c r="L23" s="17" t="e">
        <f>IF('Пшеница мягкая 28 сен'!#REF!=0,"",'Пшеница мягкая 28 сен'!#REF!-'Пшеница мягкая 28 сен'!#REF!)</f>
        <v>#REF!</v>
      </c>
      <c r="M23" s="18" t="e">
        <f>'Пшеница мягкая 28 сен'!#REF!</f>
        <v>#REF!</v>
      </c>
      <c r="N23" s="17" t="e">
        <f>IF(OR('Пшеница мягкая 28 сен'!#REF!="",'Пшеница мягкая 28 сен'!#REF!=0),"",'Пшеница мягкая 28 сен'!#REF!-'Пшеница мягкая 28 сен'!#REF!)</f>
        <v>#REF!</v>
      </c>
      <c r="O23" s="18" t="e">
        <f>'Пшеница мягкая 28 сен'!#REF!</f>
        <v>#REF!</v>
      </c>
    </row>
    <row r="24" spans="1:15" ht="20.25" x14ac:dyDescent="0.25">
      <c r="A24" s="11" t="e">
        <f>'Пшеница мягкая 28 сен'!#REF!</f>
        <v>#REF!</v>
      </c>
      <c r="B24" s="17" t="e">
        <f>IF('Пшеница мягкая 28 сен'!#REF!="","",'Пшеница мягкая 28 сен'!#REF!-'Пшеница мягкая 28 сен'!#REF!)</f>
        <v>#REF!</v>
      </c>
      <c r="C24" s="18" t="e">
        <f>'Пшеница мягкая 28 сен'!#REF!</f>
        <v>#REF!</v>
      </c>
      <c r="D24" s="17" t="e">
        <f>IF('Пшеница мягкая 28 сен'!#REF!="","",'Пшеница мягкая 28 сен'!#REF!-'Пшеница мягкая 28 сен'!#REF!)</f>
        <v>#REF!</v>
      </c>
      <c r="E24" s="18" t="e">
        <f>'Пшеница мягкая 28 сен'!#REF!</f>
        <v>#REF!</v>
      </c>
      <c r="F24" s="17" t="e">
        <f>IF('Пшеница мягкая 28 сен'!#REF!="","",'Пшеница мягкая 28 сен'!#REF!-'Пшеница мягкая 28 сен'!#REF!)</f>
        <v>#REF!</v>
      </c>
      <c r="G24" s="18" t="e">
        <f>'Пшеница мягкая 28 сен'!#REF!</f>
        <v>#REF!</v>
      </c>
      <c r="H24" s="17" t="e">
        <f>IF('Пшеница мягкая 28 сен'!#REF!="","",'Пшеница мягкая 28 сен'!#REF!-'Пшеница мягкая 28 сен'!#REF!)</f>
        <v>#REF!</v>
      </c>
      <c r="I24" s="18" t="e">
        <f>'Пшеница мягкая 28 сен'!#REF!</f>
        <v>#REF!</v>
      </c>
      <c r="J24" s="17" t="e">
        <f>IF('Пшеница мягкая 28 сен'!#REF!="","",'Пшеница мягкая 28 сен'!#REF!-'Пшеница мягкая 28 сен'!#REF!)</f>
        <v>#REF!</v>
      </c>
      <c r="K24" s="18" t="e">
        <f>'Пшеница мягкая 28 сен'!#REF!</f>
        <v>#REF!</v>
      </c>
      <c r="L24" s="17" t="e">
        <f>IF('Пшеница мягкая 28 сен'!#REF!=0,"",'Пшеница мягкая 28 сен'!#REF!-'Пшеница мягкая 28 сен'!#REF!)</f>
        <v>#REF!</v>
      </c>
      <c r="M24" s="18" t="e">
        <f>'Пшеница мягкая 28 сен'!#REF!</f>
        <v>#REF!</v>
      </c>
      <c r="N24" s="17" t="e">
        <f>IF(OR('Пшеница мягкая 28 сен'!#REF!="",'Пшеница мягкая 28 сен'!#REF!=0),"",'Пшеница мягкая 28 сен'!#REF!-'Пшеница мягкая 28 сен'!#REF!)</f>
        <v>#REF!</v>
      </c>
      <c r="O24" s="18" t="e">
        <f>'Пшеница мягкая 28 сен'!#REF!</f>
        <v>#REF!</v>
      </c>
    </row>
    <row r="25" spans="1:15" ht="20.25" x14ac:dyDescent="0.25">
      <c r="A25" s="13" t="e">
        <f>'Пшеница мягкая 28 сен'!#REF!</f>
        <v>#REF!</v>
      </c>
      <c r="B25" s="12" t="e">
        <f>IF('Пшеница мягкая 28 сен'!#REF!="","",'Пшеница мягкая 28 сен'!#REF!-'Пшеница мягкая 28 сен'!#REF!)</f>
        <v>#REF!</v>
      </c>
      <c r="C25" s="14" t="e">
        <f>'Пшеница мягкая 28 сен'!#REF!</f>
        <v>#REF!</v>
      </c>
      <c r="D25" s="12" t="e">
        <f>IF('Пшеница мягкая 28 сен'!#REF!=0,"",'Пшеница мягкая 28 сен'!#REF!-'Пшеница мягкая 28 сен'!#REF!)</f>
        <v>#REF!</v>
      </c>
      <c r="E25" s="14" t="e">
        <f>'Пшеница мягкая 28 сен'!#REF!</f>
        <v>#REF!</v>
      </c>
      <c r="F25" s="12" t="e">
        <f>IF('Пшеница мягкая 28 сен'!#REF!=0,"",'Пшеница мягкая 28 сен'!#REF!-'Пшеница мягкая 28 сен'!#REF!)</f>
        <v>#REF!</v>
      </c>
      <c r="G25" s="14" t="e">
        <f>'Пшеница мягкая 28 сен'!#REF!</f>
        <v>#REF!</v>
      </c>
      <c r="H25" s="12" t="e">
        <f>IF('Пшеница мягкая 28 сен'!#REF!=0,"",'Пшеница мягкая 28 сен'!#REF!-'Пшеница мягкая 28 сен'!#REF!)</f>
        <v>#REF!</v>
      </c>
      <c r="I25" s="14" t="e">
        <f>'Пшеница мягкая 28 сен'!#REF!</f>
        <v>#REF!</v>
      </c>
      <c r="J25" s="12" t="e">
        <f>IF('Пшеница мягкая 28 сен'!#REF!=0,"",'Пшеница мягкая 28 сен'!#REF!-'Пшеница мягкая 28 сен'!#REF!)</f>
        <v>#REF!</v>
      </c>
      <c r="K25" s="14" t="e">
        <f>'Пшеница мягкая 28 сен'!#REF!</f>
        <v>#REF!</v>
      </c>
      <c r="L25" s="12" t="e">
        <f>IF('Пшеница мягкая 28 сен'!#REF!=0,"",'Пшеница мягкая 28 сен'!#REF!-'Пшеница мягкая 28 сен'!#REF!)</f>
        <v>#REF!</v>
      </c>
      <c r="M25" s="14" t="e">
        <f>'Пшеница мягкая 28 сен'!#REF!</f>
        <v>#REF!</v>
      </c>
      <c r="N25" s="12" t="e">
        <f>IF(OR('Пшеница мягкая 28 сен'!#REF!="",'Пшеница мягкая 28 сен'!#REF!=0),"",'Пшеница мягкая 28 сен'!#REF!-'Пшеница мягкая 28 сен'!#REF!)</f>
        <v>#REF!</v>
      </c>
      <c r="O25" s="14" t="e">
        <f>'Пшеница мягкая 28 сен'!#REF!</f>
        <v>#REF!</v>
      </c>
    </row>
    <row r="26" spans="1:15" ht="20.25" x14ac:dyDescent="0.25">
      <c r="A26" s="11" t="e">
        <f>'Пшеница мягкая 28 сен'!#REF!</f>
        <v>#REF!</v>
      </c>
      <c r="B26" s="17" t="e">
        <f>IF('Пшеница мягкая 28 сен'!#REF!="","",'Пшеница мягкая 28 сен'!#REF!-'Пшеница мягкая 28 сен'!#REF!)</f>
        <v>#REF!</v>
      </c>
      <c r="C26" s="18" t="e">
        <f>'Пшеница мягкая 28 сен'!#REF!</f>
        <v>#REF!</v>
      </c>
      <c r="D26" s="17" t="e">
        <f>IF('Пшеница мягкая 28 сен'!#REF!=0,"",'Пшеница мягкая 28 сен'!#REF!-'Пшеница мягкая 28 сен'!#REF!)</f>
        <v>#REF!</v>
      </c>
      <c r="E26" s="18" t="e">
        <f>'Пшеница мягкая 28 сен'!#REF!</f>
        <v>#REF!</v>
      </c>
      <c r="F26" s="17" t="e">
        <f>IF('Пшеница мягкая 28 сен'!#REF!=0,"",'Пшеница мягкая 28 сен'!#REF!-'Пшеница мягкая 28 сен'!#REF!)</f>
        <v>#REF!</v>
      </c>
      <c r="G26" s="18" t="e">
        <f>'Пшеница мягкая 28 сен'!#REF!</f>
        <v>#REF!</v>
      </c>
      <c r="H26" s="17" t="e">
        <f>IF('Пшеница мягкая 28 сен'!#REF!=0,"",'Пшеница мягкая 28 сен'!#REF!-'Пшеница мягкая 28 сен'!#REF!)</f>
        <v>#REF!</v>
      </c>
      <c r="I26" s="18" t="e">
        <f>'Пшеница мягкая 28 сен'!#REF!</f>
        <v>#REF!</v>
      </c>
      <c r="J26" s="17" t="e">
        <f>IF('Пшеница мягкая 28 сен'!#REF!=0,"",'Пшеница мягкая 28 сен'!#REF!-'Пшеница мягкая 28 сен'!#REF!)</f>
        <v>#REF!</v>
      </c>
      <c r="K26" s="18" t="e">
        <f>'Пшеница мягкая 28 сен'!#REF!</f>
        <v>#REF!</v>
      </c>
      <c r="L26" s="17" t="e">
        <f>IF('Пшеница мягкая 28 сен'!#REF!=0,"",'Пшеница мягкая 28 сен'!#REF!-'Пшеница мягкая 28 сен'!#REF!)</f>
        <v>#REF!</v>
      </c>
      <c r="M26" s="18" t="e">
        <f>'Пшеница мягкая 28 сен'!#REF!</f>
        <v>#REF!</v>
      </c>
      <c r="N26" s="17" t="e">
        <f>IF(OR('Пшеница мягкая 28 сен'!#REF!="",'Пшеница мягкая 28 сен'!#REF!=0),"",'Пшеница мягкая 28 сен'!#REF!-'Пшеница мягкая 28 сен'!#REF!)</f>
        <v>#REF!</v>
      </c>
      <c r="O26" s="18" t="e">
        <f>'Пшеница мягкая 28 сен'!#REF!</f>
        <v>#REF!</v>
      </c>
    </row>
    <row r="27" spans="1:15" ht="20.25" x14ac:dyDescent="0.25">
      <c r="A27" s="11" t="e">
        <f>'Пшеница мягкая 28 сен'!#REF!</f>
        <v>#REF!</v>
      </c>
      <c r="B27" s="17" t="e">
        <f>IF('Пшеница мягкая 28 сен'!#REF!="","",'Пшеница мягкая 28 сен'!#REF!-'Пшеница мягкая 28 сен'!#REF!)</f>
        <v>#REF!</v>
      </c>
      <c r="C27" s="18" t="e">
        <f>'Пшеница мягкая 28 сен'!#REF!</f>
        <v>#REF!</v>
      </c>
      <c r="D27" s="17" t="e">
        <f>IF('Пшеница мягкая 28 сен'!#REF!=0,"",'Пшеница мягкая 28 сен'!#REF!-'Пшеница мягкая 28 сен'!#REF!)</f>
        <v>#REF!</v>
      </c>
      <c r="E27" s="18" t="e">
        <f>'Пшеница мягкая 28 сен'!#REF!</f>
        <v>#REF!</v>
      </c>
      <c r="F27" s="17" t="e">
        <f>IF('Пшеница мягкая 28 сен'!#REF!=0,"",'Пшеница мягкая 28 сен'!#REF!-'Пшеница мягкая 28 сен'!#REF!)</f>
        <v>#REF!</v>
      </c>
      <c r="G27" s="18" t="e">
        <f>'Пшеница мягкая 28 сен'!#REF!</f>
        <v>#REF!</v>
      </c>
      <c r="H27" s="17" t="e">
        <f>IF('Пшеница мягкая 28 сен'!#REF!=0,"",'Пшеница мягкая 28 сен'!#REF!-'Пшеница мягкая 28 сен'!#REF!)</f>
        <v>#REF!</v>
      </c>
      <c r="I27" s="18" t="e">
        <f>'Пшеница мягкая 28 сен'!#REF!</f>
        <v>#REF!</v>
      </c>
      <c r="J27" s="17" t="e">
        <f>IF('Пшеница мягкая 28 сен'!#REF!=0,"",'Пшеница мягкая 28 сен'!#REF!-'Пшеница мягкая 28 сен'!#REF!)</f>
        <v>#REF!</v>
      </c>
      <c r="K27" s="18" t="e">
        <f>'Пшеница мягкая 28 сен'!#REF!</f>
        <v>#REF!</v>
      </c>
      <c r="L27" s="17" t="e">
        <f>IF('Пшеница мягкая 28 сен'!#REF!=0,"",'Пшеница мягкая 28 сен'!#REF!-'Пшеница мягкая 28 сен'!#REF!)</f>
        <v>#REF!</v>
      </c>
      <c r="M27" s="18" t="e">
        <f>'Пшеница мягкая 28 сен'!#REF!</f>
        <v>#REF!</v>
      </c>
      <c r="N27" s="17" t="e">
        <f>IF(OR('Пшеница мягкая 28 сен'!#REF!="",'Пшеница мягкая 28 сен'!#REF!=0),"",'Пшеница мягкая 28 сен'!#REF!-'Пшеница мягкая 28 сен'!#REF!)</f>
        <v>#REF!</v>
      </c>
      <c r="O27" s="18" t="e">
        <f>'Пшеница мягкая 28 сен'!#REF!</f>
        <v>#REF!</v>
      </c>
    </row>
    <row r="28" spans="1:15" ht="20.25" x14ac:dyDescent="0.25">
      <c r="A28" s="11" t="e">
        <f>'Пшеница мягкая 28 сен'!#REF!</f>
        <v>#REF!</v>
      </c>
      <c r="B28" s="17" t="e">
        <f>IF('Пшеница мягкая 28 сен'!#REF!="","",'Пшеница мягкая 28 сен'!#REF!-'Пшеница мягкая 28 сен'!#REF!)</f>
        <v>#REF!</v>
      </c>
      <c r="C28" s="18" t="e">
        <f>'Пшеница мягкая 28 сен'!#REF!</f>
        <v>#REF!</v>
      </c>
      <c r="D28" s="17" t="e">
        <f>IF('Пшеница мягкая 28 сен'!#REF!="","",'Пшеница мягкая 28 сен'!#REF!-'Пшеница мягкая 28 сен'!#REF!)</f>
        <v>#REF!</v>
      </c>
      <c r="E28" s="18" t="e">
        <f>'Пшеница мягкая 28 сен'!#REF!</f>
        <v>#REF!</v>
      </c>
      <c r="F28" s="17" t="e">
        <f>IF('Пшеница мягкая 28 сен'!#REF!=0,"",'Пшеница мягкая 28 сен'!#REF!-'Пшеница мягкая 28 сен'!#REF!)</f>
        <v>#REF!</v>
      </c>
      <c r="G28" s="18" t="e">
        <f>'Пшеница мягкая 28 сен'!#REF!</f>
        <v>#REF!</v>
      </c>
      <c r="H28" s="17" t="e">
        <f>IF('Пшеница мягкая 28 сен'!#REF!=0,"",'Пшеница мягкая 28 сен'!#REF!-'Пшеница мягкая 28 сен'!#REF!)</f>
        <v>#REF!</v>
      </c>
      <c r="I28" s="18" t="e">
        <f>'Пшеница мягкая 28 сен'!#REF!</f>
        <v>#REF!</v>
      </c>
      <c r="J28" s="17" t="e">
        <f>IF('Пшеница мягкая 28 сен'!#REF!=0,"",'Пшеница мягкая 28 сен'!#REF!-'Пшеница мягкая 28 сен'!#REF!)</f>
        <v>#REF!</v>
      </c>
      <c r="K28" s="18" t="e">
        <f>'Пшеница мягкая 28 сен'!#REF!</f>
        <v>#REF!</v>
      </c>
      <c r="L28" s="17" t="e">
        <f>IF('Пшеница мягкая 28 сен'!#REF!=0,"",'Пшеница мягкая 28 сен'!#REF!-'Пшеница мягкая 28 сен'!#REF!)</f>
        <v>#REF!</v>
      </c>
      <c r="M28" s="18" t="e">
        <f>'Пшеница мягкая 28 сен'!#REF!</f>
        <v>#REF!</v>
      </c>
      <c r="N28" s="17" t="e">
        <f>IF(OR('Пшеница мягкая 28 сен'!#REF!="",'Пшеница мягкая 28 сен'!#REF!=0),"",'Пшеница мягкая 28 сен'!#REF!-'Пшеница мягкая 28 сен'!#REF!)</f>
        <v>#REF!</v>
      </c>
      <c r="O28" s="18" t="e">
        <f>'Пшеница мягкая 28 сен'!#REF!</f>
        <v>#REF!</v>
      </c>
    </row>
    <row r="29" spans="1:15" ht="20.25" x14ac:dyDescent="0.25">
      <c r="A29" s="11" t="e">
        <f>'Пшеница мягкая 28 сен'!#REF!</f>
        <v>#REF!</v>
      </c>
      <c r="B29" s="17" t="e">
        <f>IF('Пшеница мягкая 28 сен'!#REF!="","",'Пшеница мягкая 28 сен'!#REF!-'Пшеница мягкая 28 сен'!#REF!)</f>
        <v>#REF!</v>
      </c>
      <c r="C29" s="18" t="e">
        <f>'Пшеница мягкая 28 сен'!#REF!</f>
        <v>#REF!</v>
      </c>
      <c r="D29" s="17" t="e">
        <f>IF('Пшеница мягкая 28 сен'!#REF!="","",'Пшеница мягкая 28 сен'!#REF!-'Пшеница мягкая 28 сен'!#REF!)</f>
        <v>#REF!</v>
      </c>
      <c r="E29" s="18" t="e">
        <f>'Пшеница мягкая 28 сен'!#REF!</f>
        <v>#REF!</v>
      </c>
      <c r="F29" s="17" t="e">
        <f>IF('Пшеница мягкая 28 сен'!#REF!=0,"",'Пшеница мягкая 28 сен'!#REF!-'Пшеница мягкая 28 сен'!#REF!)</f>
        <v>#REF!</v>
      </c>
      <c r="G29" s="18" t="e">
        <f>'Пшеница мягкая 28 сен'!#REF!</f>
        <v>#REF!</v>
      </c>
      <c r="H29" s="17" t="e">
        <f>IF('Пшеница мягкая 28 сен'!#REF!=0,"",'Пшеница мягкая 28 сен'!#REF!-'Пшеница мягкая 28 сен'!#REF!)</f>
        <v>#REF!</v>
      </c>
      <c r="I29" s="18" t="e">
        <f>'Пшеница мягкая 28 сен'!#REF!</f>
        <v>#REF!</v>
      </c>
      <c r="J29" s="17" t="e">
        <f>IF('Пшеница мягкая 28 сен'!#REF!=0,"",'Пшеница мягкая 28 сен'!#REF!-'Пшеница мягкая 28 сен'!#REF!)</f>
        <v>#REF!</v>
      </c>
      <c r="K29" s="18" t="e">
        <f>'Пшеница мягкая 28 сен'!#REF!</f>
        <v>#REF!</v>
      </c>
      <c r="L29" s="17" t="e">
        <f>IF('Пшеница мягкая 28 сен'!#REF!="","",'Пшеница мягкая 28 сен'!#REF!-'Пшеница мягкая 28 сен'!#REF!)</f>
        <v>#REF!</v>
      </c>
      <c r="M29" s="18" t="e">
        <f>'Пшеница мягкая 28 сен'!#REF!</f>
        <v>#REF!</v>
      </c>
      <c r="N29" s="17" t="e">
        <f>IF(OR('Пшеница мягкая 28 сен'!#REF!="",'Пшеница мягкая 28 сен'!#REF!=0),"",'Пшеница мягкая 28 сен'!#REF!-'Пшеница мягкая 28 сен'!#REF!)</f>
        <v>#REF!</v>
      </c>
      <c r="O29" s="18" t="e">
        <f>'Пшеница мягкая 28 сен'!#REF!</f>
        <v>#REF!</v>
      </c>
    </row>
    <row r="30" spans="1:15" ht="20.25" x14ac:dyDescent="0.25">
      <c r="A30" s="11" t="e">
        <f>'Пшеница мягкая 28 сен'!#REF!</f>
        <v>#REF!</v>
      </c>
      <c r="B30" s="17" t="e">
        <f>IF('Пшеница мягкая 28 сен'!#REF!="","",'Пшеница мягкая 28 сен'!#REF!-'Пшеница мягкая 28 сен'!#REF!)</f>
        <v>#REF!</v>
      </c>
      <c r="C30" s="18" t="e">
        <f>'Пшеница мягкая 28 сен'!#REF!</f>
        <v>#REF!</v>
      </c>
      <c r="D30" s="17" t="e">
        <f>IF('Пшеница мягкая 28 сен'!#REF!="","",'Пшеница мягкая 28 сен'!#REF!-'Пшеница мягкая 28 сен'!#REF!)</f>
        <v>#REF!</v>
      </c>
      <c r="E30" s="18" t="e">
        <f>'Пшеница мягкая 28 сен'!#REF!</f>
        <v>#REF!</v>
      </c>
      <c r="F30" s="17" t="e">
        <f>IF('Пшеница мягкая 28 сен'!#REF!=0,"",'Пшеница мягкая 28 сен'!#REF!-'Пшеница мягкая 28 сен'!#REF!)</f>
        <v>#REF!</v>
      </c>
      <c r="G30" s="18" t="e">
        <f>'Пшеница мягкая 28 сен'!#REF!</f>
        <v>#REF!</v>
      </c>
      <c r="H30" s="17" t="e">
        <f>IF('Пшеница мягкая 28 сен'!#REF!=0,"",'Пшеница мягкая 28 сен'!#REF!-'Пшеница мягкая 28 сен'!#REF!)</f>
        <v>#REF!</v>
      </c>
      <c r="I30" s="18" t="e">
        <f>'Пшеница мягкая 28 сен'!#REF!</f>
        <v>#REF!</v>
      </c>
      <c r="J30" s="17" t="e">
        <f>IF('Пшеница мягкая 28 сен'!#REF!=0,"",'Пшеница мягкая 28 сен'!#REF!-'Пшеница мягкая 28 сен'!#REF!)</f>
        <v>#REF!</v>
      </c>
      <c r="K30" s="18" t="e">
        <f>'Пшеница мягкая 28 сен'!#REF!</f>
        <v>#REF!</v>
      </c>
      <c r="L30" s="17" t="e">
        <f>IF('Пшеница мягкая 28 сен'!#REF!=0,"",'Пшеница мягкая 28 сен'!#REF!-'Пшеница мягкая 28 сен'!#REF!)</f>
        <v>#REF!</v>
      </c>
      <c r="M30" s="18" t="e">
        <f>'Пшеница мягкая 28 сен'!#REF!</f>
        <v>#REF!</v>
      </c>
      <c r="N30" s="17" t="e">
        <f>IF(OR('Пшеница мягкая 28 сен'!#REF!="",'Пшеница мягкая 28 сен'!#REF!=0),"",'Пшеница мягкая 28 сен'!#REF!-'Пшеница мягкая 28 сен'!#REF!)</f>
        <v>#REF!</v>
      </c>
      <c r="O30" s="18" t="e">
        <f>'Пшеница мягкая 28 сен'!#REF!</f>
        <v>#REF!</v>
      </c>
    </row>
    <row r="31" spans="1:15" ht="20.25" x14ac:dyDescent="0.25">
      <c r="A31" s="11" t="e">
        <f>'Пшеница мягкая 28 сен'!#REF!</f>
        <v>#REF!</v>
      </c>
      <c r="B31" s="17" t="e">
        <f>IF('Пшеница мягкая 28 сен'!#REF!="","",'Пшеница мягкая 28 сен'!#REF!-'Пшеница мягкая 28 сен'!#REF!)</f>
        <v>#REF!</v>
      </c>
      <c r="C31" s="18" t="e">
        <f>'Пшеница мягкая 28 сен'!#REF!</f>
        <v>#REF!</v>
      </c>
      <c r="D31" s="17" t="e">
        <f>IF('Пшеница мягкая 28 сен'!#REF!="","",'Пшеница мягкая 28 сен'!#REF!-'Пшеница мягкая 28 сен'!#REF!)</f>
        <v>#REF!</v>
      </c>
      <c r="E31" s="18" t="e">
        <f>'Пшеница мягкая 28 сен'!#REF!</f>
        <v>#REF!</v>
      </c>
      <c r="F31" s="17" t="e">
        <f>IF('Пшеница мягкая 28 сен'!#REF!=0,"",'Пшеница мягкая 28 сен'!#REF!-'Пшеница мягкая 28 сен'!#REF!)</f>
        <v>#REF!</v>
      </c>
      <c r="G31" s="18" t="e">
        <f>'Пшеница мягкая 28 сен'!#REF!</f>
        <v>#REF!</v>
      </c>
      <c r="H31" s="17" t="e">
        <f>IF('Пшеница мягкая 28 сен'!#REF!=0,"",'Пшеница мягкая 28 сен'!#REF!-'Пшеница мягкая 28 сен'!#REF!)</f>
        <v>#REF!</v>
      </c>
      <c r="I31" s="18" t="e">
        <f>'Пшеница мягкая 28 сен'!#REF!</f>
        <v>#REF!</v>
      </c>
      <c r="J31" s="17" t="e">
        <f>IF('Пшеница мягкая 28 сен'!#REF!=0,"",'Пшеница мягкая 28 сен'!#REF!-'Пшеница мягкая 28 сен'!#REF!)</f>
        <v>#REF!</v>
      </c>
      <c r="K31" s="18" t="e">
        <f>'Пшеница мягкая 28 сен'!#REF!</f>
        <v>#REF!</v>
      </c>
      <c r="L31" s="17" t="e">
        <f>IF('Пшеница мягкая 28 сен'!#REF!=0,"",'Пшеница мягкая 28 сен'!#REF!-'Пшеница мягкая 28 сен'!#REF!)</f>
        <v>#REF!</v>
      </c>
      <c r="M31" s="18" t="e">
        <f>'Пшеница мягкая 28 сен'!#REF!</f>
        <v>#REF!</v>
      </c>
      <c r="N31" s="17" t="e">
        <f>IF(OR('Пшеница мягкая 28 сен'!#REF!="",'Пшеница мягкая 28 сен'!#REF!=0),"",'Пшеница мягкая 28 сен'!#REF!-'Пшеница мягкая 28 сен'!#REF!)</f>
        <v>#REF!</v>
      </c>
      <c r="O31" s="18" t="e">
        <f>'Пшеница мягкая 28 сен'!#REF!</f>
        <v>#REF!</v>
      </c>
    </row>
    <row r="32" spans="1:15" ht="20.25" x14ac:dyDescent="0.25">
      <c r="A32" s="11" t="e">
        <f>'Пшеница мягкая 28 сен'!#REF!</f>
        <v>#REF!</v>
      </c>
      <c r="B32" s="17" t="e">
        <f>IF('Пшеница мягкая 28 сен'!#REF!="","",'Пшеница мягкая 28 сен'!#REF!-'Пшеница мягкая 28 сен'!#REF!)</f>
        <v>#REF!</v>
      </c>
      <c r="C32" s="18" t="e">
        <f>'Пшеница мягкая 28 сен'!#REF!</f>
        <v>#REF!</v>
      </c>
      <c r="D32" s="17" t="e">
        <f>IF('Пшеница мягкая 28 сен'!#REF!="","",'Пшеница мягкая 28 сен'!#REF!-'Пшеница мягкая 28 сен'!#REF!)</f>
        <v>#REF!</v>
      </c>
      <c r="E32" s="18" t="e">
        <f>'Пшеница мягкая 28 сен'!#REF!</f>
        <v>#REF!</v>
      </c>
      <c r="F32" s="17" t="e">
        <f>IF('Пшеница мягкая 28 сен'!#REF!=0,"",'Пшеница мягкая 28 сен'!#REF!-'Пшеница мягкая 28 сен'!#REF!)</f>
        <v>#REF!</v>
      </c>
      <c r="G32" s="18" t="e">
        <f>'Пшеница мягкая 28 сен'!#REF!</f>
        <v>#REF!</v>
      </c>
      <c r="H32" s="17" t="e">
        <f>IF('Пшеница мягкая 28 сен'!#REF!=0,"",'Пшеница мягкая 28 сен'!#REF!-'Пшеница мягкая 28 сен'!#REF!)</f>
        <v>#REF!</v>
      </c>
      <c r="I32" s="18" t="e">
        <f>'Пшеница мягкая 28 сен'!#REF!</f>
        <v>#REF!</v>
      </c>
      <c r="J32" s="17" t="e">
        <f>IF('Пшеница мягкая 28 сен'!#REF!=0,"",'Пшеница мягкая 28 сен'!#REF!-'Пшеница мягкая 28 сен'!#REF!)</f>
        <v>#REF!</v>
      </c>
      <c r="K32" s="18" t="e">
        <f>'Пшеница мягкая 28 сен'!#REF!</f>
        <v>#REF!</v>
      </c>
      <c r="L32" s="17" t="e">
        <f>IF('Пшеница мягкая 28 сен'!#REF!="","",'Пшеница мягкая 28 сен'!#REF!-'Пшеница мягкая 28 сен'!#REF!)</f>
        <v>#REF!</v>
      </c>
      <c r="M32" s="18" t="e">
        <f>'Пшеница мягкая 28 сен'!#REF!</f>
        <v>#REF!</v>
      </c>
      <c r="N32" s="17" t="e">
        <f>IF(OR('Пшеница мягкая 28 сен'!#REF!="",'Пшеница мягкая 28 сен'!#REF!=0),"",'Пшеница мягкая 28 сен'!#REF!-'Пшеница мягкая 28 сен'!#REF!)</f>
        <v>#REF!</v>
      </c>
      <c r="O32" s="18" t="e">
        <f>'Пшеница мягкая 28 сен'!#REF!</f>
        <v>#REF!</v>
      </c>
    </row>
    <row r="33" spans="1:15" ht="20.25" x14ac:dyDescent="0.25">
      <c r="A33" s="11" t="e">
        <f>'Пшеница мягкая 28 сен'!#REF!</f>
        <v>#REF!</v>
      </c>
      <c r="B33" s="17" t="e">
        <f>IF('Пшеница мягкая 28 сен'!#REF!="","",'Пшеница мягкая 28 сен'!#REF!-'Пшеница мягкая 28 сен'!#REF!)</f>
        <v>#REF!</v>
      </c>
      <c r="C33" s="18" t="e">
        <f>'Пшеница мягкая 28 сен'!#REF!</f>
        <v>#REF!</v>
      </c>
      <c r="D33" s="17" t="e">
        <f>IF('Пшеница мягкая 28 сен'!#REF!="","",'Пшеница мягкая 28 сен'!#REF!-'Пшеница мягкая 28 сен'!#REF!)</f>
        <v>#REF!</v>
      </c>
      <c r="E33" s="18" t="e">
        <f>'Пшеница мягкая 28 сен'!#REF!</f>
        <v>#REF!</v>
      </c>
      <c r="F33" s="17" t="e">
        <f>IF('Пшеница мягкая 28 сен'!#REF!=0,"",'Пшеница мягкая 28 сен'!#REF!-'Пшеница мягкая 28 сен'!#REF!)</f>
        <v>#REF!</v>
      </c>
      <c r="G33" s="18" t="e">
        <f>'Пшеница мягкая 28 сен'!#REF!</f>
        <v>#REF!</v>
      </c>
      <c r="H33" s="17" t="e">
        <f>IF('Пшеница мягкая 28 сен'!#REF!=0,"",'Пшеница мягкая 28 сен'!#REF!-'Пшеница мягкая 28 сен'!#REF!)</f>
        <v>#REF!</v>
      </c>
      <c r="I33" s="18" t="e">
        <f>'Пшеница мягкая 28 сен'!#REF!</f>
        <v>#REF!</v>
      </c>
      <c r="J33" s="17" t="e">
        <f>IF('Пшеница мягкая 28 сен'!#REF!=0,"",'Пшеница мягкая 28 сен'!#REF!-'Пшеница мягкая 28 сен'!#REF!)</f>
        <v>#REF!</v>
      </c>
      <c r="K33" s="18" t="e">
        <f>'Пшеница мягкая 28 сен'!#REF!</f>
        <v>#REF!</v>
      </c>
      <c r="L33" s="17" t="e">
        <f>IF('Пшеница мягкая 28 сен'!#REF!=0,"",'Пшеница мягкая 28 сен'!#REF!-'Пшеница мягкая 28 сен'!#REF!)</f>
        <v>#REF!</v>
      </c>
      <c r="M33" s="18" t="e">
        <f>'Пшеница мягкая 28 сен'!#REF!</f>
        <v>#REF!</v>
      </c>
      <c r="N33" s="17" t="e">
        <f>IF(OR('Пшеница мягкая 28 сен'!#REF!="",'Пшеница мягкая 28 сен'!#REF!=0),"",'Пшеница мягкая 28 сен'!#REF!-'Пшеница мягкая 28 сен'!#REF!)</f>
        <v>#REF!</v>
      </c>
      <c r="O33" s="18" t="e">
        <f>'Пшеница мягкая 28 сен'!#REF!</f>
        <v>#REF!</v>
      </c>
    </row>
    <row r="34" spans="1:15" ht="20.25" x14ac:dyDescent="0.25">
      <c r="A34" s="11" t="e">
        <f>'Пшеница мягкая 28 сен'!#REF!</f>
        <v>#REF!</v>
      </c>
      <c r="B34" s="17" t="e">
        <f>IF('Пшеница мягкая 28 сен'!#REF!="","",'Пшеница мягкая 28 сен'!#REF!-'Пшеница мягкая 28 сен'!#REF!)</f>
        <v>#REF!</v>
      </c>
      <c r="C34" s="18" t="e">
        <f>'Пшеница мягкая 28 сен'!#REF!</f>
        <v>#REF!</v>
      </c>
      <c r="D34" s="17" t="e">
        <f>IF('Пшеница мягкая 28 сен'!#REF!="","",'Пшеница мягкая 28 сен'!#REF!-'Пшеница мягкая 28 сен'!#REF!)</f>
        <v>#REF!</v>
      </c>
      <c r="E34" s="18" t="e">
        <f>'Пшеница мягкая 28 сен'!#REF!</f>
        <v>#REF!</v>
      </c>
      <c r="F34" s="17" t="e">
        <f>IF('Пшеница мягкая 28 сен'!#REF!=0,"",'Пшеница мягкая 28 сен'!#REF!-'Пшеница мягкая 28 сен'!#REF!)</f>
        <v>#REF!</v>
      </c>
      <c r="G34" s="18" t="e">
        <f>'Пшеница мягкая 28 сен'!#REF!</f>
        <v>#REF!</v>
      </c>
      <c r="H34" s="17" t="e">
        <f>IF('Пшеница мягкая 28 сен'!#REF!=0,"",'Пшеница мягкая 28 сен'!#REF!-'Пшеница мягкая 28 сен'!#REF!)</f>
        <v>#REF!</v>
      </c>
      <c r="I34" s="18" t="e">
        <f>'Пшеница мягкая 28 сен'!#REF!</f>
        <v>#REF!</v>
      </c>
      <c r="J34" s="17" t="e">
        <f>IF('Пшеница мягкая 28 сен'!#REF!=0,"",'Пшеница мягкая 28 сен'!#REF!-'Пшеница мягкая 28 сен'!#REF!)</f>
        <v>#REF!</v>
      </c>
      <c r="K34" s="18" t="e">
        <f>'Пшеница мягкая 28 сен'!#REF!</f>
        <v>#REF!</v>
      </c>
      <c r="L34" s="17" t="e">
        <f>IF('Пшеница мягкая 28 сен'!#REF!=0,"",'Пшеница мягкая 28 сен'!#REF!-'Пшеница мягкая 28 сен'!#REF!)</f>
        <v>#REF!</v>
      </c>
      <c r="M34" s="18" t="e">
        <f>'Пшеница мягкая 28 сен'!#REF!</f>
        <v>#REF!</v>
      </c>
      <c r="N34" s="17" t="e">
        <f>IF(OR('Пшеница мягкая 28 сен'!#REF!="",'Пшеница мягкая 28 сен'!#REF!=0),"",'Пшеница мягкая 28 сен'!#REF!-'Пшеница мягкая 28 сен'!#REF!)</f>
        <v>#REF!</v>
      </c>
      <c r="O34" s="18" t="e">
        <f>'Пшеница мягкая 28 сен'!#REF!</f>
        <v>#REF!</v>
      </c>
    </row>
    <row r="35" spans="1:15" ht="20.25" x14ac:dyDescent="0.25">
      <c r="A35" s="11" t="e">
        <f>'Пшеница мягкая 28 сен'!#REF!</f>
        <v>#REF!</v>
      </c>
      <c r="B35" s="17" t="e">
        <f>IF('Пшеница мягкая 28 сен'!#REF!="","",'Пшеница мягкая 28 сен'!#REF!-'Пшеница мягкая 28 сен'!#REF!)</f>
        <v>#REF!</v>
      </c>
      <c r="C35" s="18" t="e">
        <f>'Пшеница мягкая 28 сен'!#REF!</f>
        <v>#REF!</v>
      </c>
      <c r="D35" s="17" t="e">
        <f>IF('Пшеница мягкая 28 сен'!#REF!="","",'Пшеница мягкая 28 сен'!#REF!-'Пшеница мягкая 28 сен'!#REF!)</f>
        <v>#REF!</v>
      </c>
      <c r="E35" s="18" t="e">
        <f>'Пшеница мягкая 28 сен'!#REF!</f>
        <v>#REF!</v>
      </c>
      <c r="F35" s="17" t="e">
        <f>IF('Пшеница мягкая 28 сен'!#REF!=0,"",'Пшеница мягкая 28 сен'!#REF!-'Пшеница мягкая 28 сен'!#REF!)</f>
        <v>#REF!</v>
      </c>
      <c r="G35" s="18" t="e">
        <f>'Пшеница мягкая 28 сен'!#REF!</f>
        <v>#REF!</v>
      </c>
      <c r="H35" s="17" t="e">
        <f>IF('Пшеница мягкая 28 сен'!#REF!=0,"",'Пшеница мягкая 28 сен'!#REF!-'Пшеница мягкая 28 сен'!#REF!)</f>
        <v>#REF!</v>
      </c>
      <c r="I35" s="18" t="e">
        <f>'Пшеница мягкая 28 сен'!#REF!</f>
        <v>#REF!</v>
      </c>
      <c r="J35" s="17" t="e">
        <f>IF('Пшеница мягкая 28 сен'!#REF!=0,"",'Пшеница мягкая 28 сен'!#REF!-'Пшеница мягкая 28 сен'!#REF!)</f>
        <v>#REF!</v>
      </c>
      <c r="K35" s="18" t="e">
        <f>'Пшеница мягкая 28 сен'!#REF!</f>
        <v>#REF!</v>
      </c>
      <c r="L35" s="17" t="e">
        <f>IF('Пшеница мягкая 28 сен'!#REF!=0,"",'Пшеница мягкая 28 сен'!#REF!-'Пшеница мягкая 28 сен'!#REF!)</f>
        <v>#REF!</v>
      </c>
      <c r="M35" s="18" t="e">
        <f>'Пшеница мягкая 28 сен'!#REF!</f>
        <v>#REF!</v>
      </c>
      <c r="N35" s="17" t="e">
        <f>IF(OR('Пшеница мягкая 28 сен'!#REF!="",'Пшеница мягкая 28 сен'!#REF!=0),"",'Пшеница мягкая 28 сен'!#REF!-'Пшеница мягкая 28 сен'!#REF!)</f>
        <v>#REF!</v>
      </c>
      <c r="O35" s="18" t="e">
        <f>'Пшеница мягкая 28 сен'!#REF!</f>
        <v>#REF!</v>
      </c>
    </row>
    <row r="36" spans="1:15" ht="20.25" x14ac:dyDescent="0.25">
      <c r="A36" s="13" t="e">
        <f>'Пшеница мягкая 28 сен'!#REF!</f>
        <v>#REF!</v>
      </c>
      <c r="B36" s="12" t="e">
        <f>IF('Пшеница мягкая 28 сен'!#REF!="","",'Пшеница мягкая 28 сен'!#REF!-'Пшеница мягкая 28 сен'!#REF!)</f>
        <v>#REF!</v>
      </c>
      <c r="C36" s="14" t="e">
        <f>'Пшеница мягкая 28 сен'!#REF!</f>
        <v>#REF!</v>
      </c>
      <c r="D36" s="12" t="e">
        <f>IF('Пшеница мягкая 28 сен'!#REF!="","",'Пшеница мягкая 28 сен'!#REF!-'Пшеница мягкая 28 сен'!#REF!)</f>
        <v>#REF!</v>
      </c>
      <c r="E36" s="14" t="e">
        <f>'Пшеница мягкая 28 сен'!#REF!</f>
        <v>#REF!</v>
      </c>
      <c r="F36" s="12" t="e">
        <f>IF('Пшеница мягкая 28 сен'!#REF!=0,"",'Пшеница мягкая 28 сен'!#REF!-'Пшеница мягкая 28 сен'!#REF!)</f>
        <v>#REF!</v>
      </c>
      <c r="G36" s="14" t="e">
        <f>'Пшеница мягкая 28 сен'!#REF!</f>
        <v>#REF!</v>
      </c>
      <c r="H36" s="12" t="e">
        <f>IF('Пшеница мягкая 28 сен'!#REF!=0,"",'Пшеница мягкая 28 сен'!#REF!-'Пшеница мягкая 28 сен'!#REF!)</f>
        <v>#REF!</v>
      </c>
      <c r="I36" s="14" t="e">
        <f>'Пшеница мягкая 28 сен'!#REF!</f>
        <v>#REF!</v>
      </c>
      <c r="J36" s="12" t="e">
        <f>IF('Пшеница мягкая 28 сен'!#REF!=0,"",'Пшеница мягкая 28 сен'!#REF!-'Пшеница мягкая 28 сен'!#REF!)</f>
        <v>#REF!</v>
      </c>
      <c r="K36" s="14" t="e">
        <f>'Пшеница мягкая 28 сен'!#REF!</f>
        <v>#REF!</v>
      </c>
      <c r="L36" s="12" t="e">
        <f>IF('Пшеница мягкая 28 сен'!#REF!=0,"",'Пшеница мягкая 28 сен'!#REF!-'Пшеница мягкая 28 сен'!#REF!)</f>
        <v>#REF!</v>
      </c>
      <c r="M36" s="14" t="e">
        <f>'Пшеница мягкая 28 сен'!#REF!</f>
        <v>#REF!</v>
      </c>
      <c r="N36" s="12" t="e">
        <f>IF(OR('Пшеница мягкая 28 сен'!#REF!="",'Пшеница мягкая 28 сен'!#REF!=0),"",'Пшеница мягкая 28 сен'!#REF!-'Пшеница мягкая 28 сен'!#REF!)</f>
        <v>#REF!</v>
      </c>
      <c r="O36" s="14" t="e">
        <f>'Пшеница мягкая 28 сен'!#REF!</f>
        <v>#REF!</v>
      </c>
    </row>
    <row r="37" spans="1:15" ht="20.25" x14ac:dyDescent="0.25">
      <c r="A37" s="11" t="e">
        <f>'Пшеница мягкая 28 сен'!#REF!</f>
        <v>#REF!</v>
      </c>
      <c r="B37" s="17" t="e">
        <f>IF('Пшеница мягкая 28 сен'!#REF!="","",'Пшеница мягкая 28 сен'!#REF!-'Пшеница мягкая 28 сен'!#REF!)</f>
        <v>#REF!</v>
      </c>
      <c r="C37" s="18" t="e">
        <f>'Пшеница мягкая 28 сен'!#REF!</f>
        <v>#REF!</v>
      </c>
      <c r="D37" s="17" t="e">
        <f>IF('Пшеница мягкая 28 сен'!#REF!="","",'Пшеница мягкая 28 сен'!#REF!-'Пшеница мягкая 28 сен'!#REF!)</f>
        <v>#REF!</v>
      </c>
      <c r="E37" s="18" t="e">
        <f>'Пшеница мягкая 28 сен'!#REF!</f>
        <v>#REF!</v>
      </c>
      <c r="F37" s="17" t="e">
        <f>IF('Пшеница мягкая 28 сен'!#REF!=0,"",'Пшеница мягкая 28 сен'!#REF!-'Пшеница мягкая 28 сен'!#REF!)</f>
        <v>#REF!</v>
      </c>
      <c r="G37" s="18" t="e">
        <f>'Пшеница мягкая 28 сен'!#REF!</f>
        <v>#REF!</v>
      </c>
      <c r="H37" s="17" t="e">
        <f>IF('Пшеница мягкая 28 сен'!#REF!=0,"",'Пшеница мягкая 28 сен'!#REF!-'Пшеница мягкая 28 сен'!#REF!)</f>
        <v>#REF!</v>
      </c>
      <c r="I37" s="18" t="e">
        <f>'Пшеница мягкая 28 сен'!#REF!</f>
        <v>#REF!</v>
      </c>
      <c r="J37" s="17" t="e">
        <f>IF('Пшеница мягкая 28 сен'!#REF!=0,"",'Пшеница мягкая 28 сен'!#REF!-'Пшеница мягкая 28 сен'!#REF!)</f>
        <v>#REF!</v>
      </c>
      <c r="K37" s="18" t="e">
        <f>'Пшеница мягкая 28 сен'!#REF!</f>
        <v>#REF!</v>
      </c>
      <c r="L37" s="17" t="e">
        <f>IF('Пшеница мягкая 28 сен'!#REF!=0,"",'Пшеница мягкая 28 сен'!#REF!-'Пшеница мягкая 28 сен'!#REF!)</f>
        <v>#REF!</v>
      </c>
      <c r="M37" s="18" t="e">
        <f>'Пшеница мягкая 28 сен'!#REF!</f>
        <v>#REF!</v>
      </c>
      <c r="N37" s="17" t="e">
        <f>IF(OR('Пшеница мягкая 28 сен'!#REF!="",'Пшеница мягкая 28 сен'!#REF!=0),"",'Пшеница мягкая 28 сен'!#REF!-'Пшеница мягкая 28 сен'!#REF!)</f>
        <v>#REF!</v>
      </c>
      <c r="O37" s="18" t="e">
        <f>'Пшеница мягкая 28 сен'!#REF!</f>
        <v>#REF!</v>
      </c>
    </row>
    <row r="38" spans="1:15" ht="20.25" x14ac:dyDescent="0.25">
      <c r="A38" s="13" t="e">
        <f>'Пшеница мягкая 28 сен'!#REF!</f>
        <v>#REF!</v>
      </c>
      <c r="B38" s="12" t="e">
        <f>IF('Пшеница мягкая 28 сен'!#REF!="","",'Пшеница мягкая 28 сен'!#REF!-'Пшеница мягкая 28 сен'!#REF!)</f>
        <v>#REF!</v>
      </c>
      <c r="C38" s="14" t="e">
        <f>'Пшеница мягкая 28 сен'!#REF!</f>
        <v>#REF!</v>
      </c>
      <c r="D38" s="12" t="e">
        <f>IF('Пшеница мягкая 28 сен'!#REF!="","",'Пшеница мягкая 28 сен'!#REF!-'Пшеница мягкая 28 сен'!#REF!)</f>
        <v>#REF!</v>
      </c>
      <c r="E38" s="14" t="e">
        <f>'Пшеница мягкая 28 сен'!#REF!</f>
        <v>#REF!</v>
      </c>
      <c r="F38" s="12" t="e">
        <f>IF('Пшеница мягкая 28 сен'!#REF!=0,"",'Пшеница мягкая 28 сен'!#REF!-'Пшеница мягкая 28 сен'!#REF!)</f>
        <v>#REF!</v>
      </c>
      <c r="G38" s="14" t="e">
        <f>'Пшеница мягкая 28 сен'!#REF!</f>
        <v>#REF!</v>
      </c>
      <c r="H38" s="12" t="e">
        <f>IF('Пшеница мягкая 28 сен'!#REF!="","",'Пшеница мягкая 28 сен'!#REF!-'Пшеница мягкая 28 сен'!#REF!)</f>
        <v>#REF!</v>
      </c>
      <c r="I38" s="14" t="e">
        <f>'Пшеница мягкая 28 сен'!#REF!</f>
        <v>#REF!</v>
      </c>
      <c r="J38" s="12" t="e">
        <f>IF('Пшеница мягкая 28 сен'!#REF!=0,"",'Пшеница мягкая 28 сен'!#REF!-'Пшеница мягкая 28 сен'!#REF!)</f>
        <v>#REF!</v>
      </c>
      <c r="K38" s="14" t="e">
        <f>'Пшеница мягкая 28 сен'!#REF!</f>
        <v>#REF!</v>
      </c>
      <c r="L38" s="12" t="e">
        <f>IF('Пшеница мягкая 28 сен'!#REF!="","",'Пшеница мягкая 28 сен'!#REF!-'Пшеница мягкая 28 сен'!#REF!)</f>
        <v>#REF!</v>
      </c>
      <c r="M38" s="14" t="e">
        <f>'Пшеница мягкая 28 сен'!#REF!</f>
        <v>#REF!</v>
      </c>
      <c r="N38" s="12" t="e">
        <f>IF(OR('Пшеница мягкая 28 сен'!#REF!="",'Пшеница мягкая 28 сен'!#REF!=0),"",'Пшеница мягкая 28 сен'!#REF!-'Пшеница мягкая 28 сен'!#REF!)</f>
        <v>#REF!</v>
      </c>
      <c r="O38" s="14" t="e">
        <f>'Пшеница мягкая 28 сен'!#REF!</f>
        <v>#REF!</v>
      </c>
    </row>
    <row r="39" spans="1:15" ht="20.25" x14ac:dyDescent="0.25">
      <c r="A39" s="11" t="e">
        <f>'Пшеница мягкая 28 сен'!#REF!</f>
        <v>#REF!</v>
      </c>
      <c r="B39" s="17" t="e">
        <f>IF('Пшеница мягкая 28 сен'!#REF!="","",'Пшеница мягкая 28 сен'!#REF!-'Пшеница мягкая 28 сен'!#REF!)</f>
        <v>#REF!</v>
      </c>
      <c r="C39" s="18" t="e">
        <f>'Пшеница мягкая 28 сен'!#REF!</f>
        <v>#REF!</v>
      </c>
      <c r="D39" s="17" t="e">
        <f>IF('Пшеница мягкая 28 сен'!#REF!="","",'Пшеница мягкая 28 сен'!#REF!-'Пшеница мягкая 28 сен'!#REF!)</f>
        <v>#REF!</v>
      </c>
      <c r="E39" s="18" t="e">
        <f>'Пшеница мягкая 28 сен'!#REF!</f>
        <v>#REF!</v>
      </c>
      <c r="F39" s="17" t="e">
        <f>IF('Пшеница мягкая 28 сен'!#REF!=0,"",'Пшеница мягкая 28 сен'!#REF!-'Пшеница мягкая 28 сен'!#REF!)</f>
        <v>#REF!</v>
      </c>
      <c r="G39" s="18" t="e">
        <f>'Пшеница мягкая 28 сен'!#REF!</f>
        <v>#REF!</v>
      </c>
      <c r="H39" s="17" t="e">
        <f>IF('Пшеница мягкая 28 сен'!#REF!="","",'Пшеница мягкая 28 сен'!#REF!-'Пшеница мягкая 28 сен'!#REF!)</f>
        <v>#REF!</v>
      </c>
      <c r="I39" s="18" t="e">
        <f>'Пшеница мягкая 28 сен'!#REF!</f>
        <v>#REF!</v>
      </c>
      <c r="J39" s="17" t="e">
        <f>IF('Пшеница мягкая 28 сен'!#REF!=0,"",'Пшеница мягкая 28 сен'!#REF!-'Пшеница мягкая 28 сен'!#REF!)</f>
        <v>#REF!</v>
      </c>
      <c r="K39" s="18" t="e">
        <f>'Пшеница мягкая 28 сен'!#REF!</f>
        <v>#REF!</v>
      </c>
      <c r="L39" s="17" t="e">
        <f>IF('Пшеница мягкая 28 сен'!#REF!="","",'Пшеница мягкая 28 сен'!#REF!-'Пшеница мягкая 28 сен'!#REF!)</f>
        <v>#REF!</v>
      </c>
      <c r="M39" s="18" t="e">
        <f>'Пшеница мягкая 28 сен'!#REF!</f>
        <v>#REF!</v>
      </c>
      <c r="N39" s="17" t="e">
        <f>IF(OR('Пшеница мягкая 28 сен'!#REF!="",'Пшеница мягкая 28 сен'!#REF!=0),"",'Пшеница мягкая 28 сен'!#REF!-'Пшеница мягкая 28 сен'!#REF!)</f>
        <v>#REF!</v>
      </c>
      <c r="O39" s="18" t="e">
        <f>'Пшеница мягкая 28 сен'!#REF!</f>
        <v>#REF!</v>
      </c>
    </row>
    <row r="40" spans="1:15" ht="20.25" x14ac:dyDescent="0.25">
      <c r="A40" s="10" t="e">
        <f>'Пшеница мягкая 28 сен'!#REF!</f>
        <v>#REF!</v>
      </c>
      <c r="B40" s="9" t="e">
        <f>IF('Пшеница мягкая 28 сен'!#REF!="","",'Пшеница мягкая 28 сен'!#REF!-'Пшеница мягкая 28 сен'!#REF!)</f>
        <v>#REF!</v>
      </c>
      <c r="C40" s="8" t="e">
        <f>'Пшеница мягкая 28 сен'!#REF!</f>
        <v>#REF!</v>
      </c>
      <c r="D40" s="9" t="e">
        <f>IF('Пшеница мягкая 28 сен'!#REF!="","",'Пшеница мягкая 28 сен'!#REF!-'Пшеница мягкая 28 сен'!#REF!)</f>
        <v>#REF!</v>
      </c>
      <c r="E40" s="8" t="e">
        <f>'Пшеница мягкая 28 сен'!#REF!</f>
        <v>#REF!</v>
      </c>
      <c r="F40" s="9" t="e">
        <f>IF('Пшеница мягкая 28 сен'!#REF!=0,"",'Пшеница мягкая 28 сен'!#REF!-'Пшеница мягкая 28 сен'!#REF!)</f>
        <v>#REF!</v>
      </c>
      <c r="G40" s="8" t="e">
        <f>'Пшеница мягкая 28 сен'!#REF!</f>
        <v>#REF!</v>
      </c>
      <c r="H40" s="9" t="e">
        <f>IF('Пшеница мягкая 28 сен'!#REF!=0,"",'Пшеница мягкая 28 сен'!#REF!-'Пшеница мягкая 28 сен'!#REF!)</f>
        <v>#REF!</v>
      </c>
      <c r="I40" s="8" t="e">
        <f>'Пшеница мягкая 28 сен'!#REF!</f>
        <v>#REF!</v>
      </c>
      <c r="J40" s="9" t="e">
        <f>IF('Пшеница мягкая 28 сен'!#REF!=0,"",'Пшеница мягкая 28 сен'!#REF!-'Пшеница мягкая 28 сен'!#REF!)</f>
        <v>#REF!</v>
      </c>
      <c r="K40" s="8" t="e">
        <f>'Пшеница мягкая 28 сен'!#REF!</f>
        <v>#REF!</v>
      </c>
      <c r="L40" s="9" t="e">
        <f>IF('Пшеница мягкая 28 сен'!#REF!=0,"",'Пшеница мягкая 28 сен'!#REF!-'Пшеница мягкая 28 сен'!#REF!)</f>
        <v>#REF!</v>
      </c>
      <c r="M40" s="8" t="e">
        <f>'Пшеница мягкая 28 сен'!#REF!</f>
        <v>#REF!</v>
      </c>
      <c r="N40" s="9" t="e">
        <f>IF(OR('Пшеница мягкая 28 сен'!#REF!="",'Пшеница мягкая 28 сен'!#REF!=0),"",'Пшеница мягкая 28 сен'!#REF!-'Пшеница мягкая 28 сен'!#REF!)</f>
        <v>#REF!</v>
      </c>
      <c r="O40" s="8" t="e">
        <f>'Пшеница мягкая 28 сен'!#REF!</f>
        <v>#REF!</v>
      </c>
    </row>
    <row r="41" spans="1:15" ht="20.25" x14ac:dyDescent="0.25">
      <c r="A41" s="10" t="e">
        <f>'Пшеница мягкая 28 сен'!#REF!</f>
        <v>#REF!</v>
      </c>
      <c r="B41" s="9" t="e">
        <f>IF('Пшеница мягкая 28 сен'!#REF!="","",'Пшеница мягкая 28 сен'!#REF!-'Пшеница мягкая 28 сен'!#REF!)</f>
        <v>#REF!</v>
      </c>
      <c r="C41" s="8" t="e">
        <f>'Пшеница мягкая 28 сен'!#REF!</f>
        <v>#REF!</v>
      </c>
      <c r="D41" s="9" t="e">
        <f>IF('Пшеница мягкая 28 сен'!#REF!="","",'Пшеница мягкая 28 сен'!#REF!-'Пшеница мягкая 28 сен'!#REF!)</f>
        <v>#REF!</v>
      </c>
      <c r="E41" s="8" t="e">
        <f>'Пшеница мягкая 28 сен'!#REF!</f>
        <v>#REF!</v>
      </c>
      <c r="F41" s="9" t="e">
        <f>IF('Пшеница мягкая 28 сен'!#REF!=0,"",'Пшеница мягкая 28 сен'!#REF!-'Пшеница мягкая 28 сен'!#REF!)</f>
        <v>#REF!</v>
      </c>
      <c r="G41" s="8" t="e">
        <f>'Пшеница мягкая 28 сен'!#REF!</f>
        <v>#REF!</v>
      </c>
      <c r="H41" s="9" t="e">
        <f>IF('Пшеница мягкая 28 сен'!#REF!=0,"",'Пшеница мягкая 28 сен'!#REF!-'Пшеница мягкая 28 сен'!#REF!)</f>
        <v>#REF!</v>
      </c>
      <c r="I41" s="8" t="e">
        <f>'Пшеница мягкая 28 сен'!#REF!</f>
        <v>#REF!</v>
      </c>
      <c r="J41" s="9" t="e">
        <f>IF('Пшеница мягкая 28 сен'!#REF!=0,"",'Пшеница мягкая 28 сен'!#REF!-'Пшеница мягкая 28 сен'!#REF!)</f>
        <v>#REF!</v>
      </c>
      <c r="K41" s="8" t="e">
        <f>'Пшеница мягкая 28 сен'!#REF!</f>
        <v>#REF!</v>
      </c>
      <c r="L41" s="9" t="e">
        <f>IF('Пшеница мягкая 28 сен'!#REF!=0,"",'Пшеница мягкая 28 сен'!#REF!-'Пшеница мягкая 28 сен'!#REF!)</f>
        <v>#REF!</v>
      </c>
      <c r="M41" s="8" t="e">
        <f>'Пшеница мягкая 28 сен'!#REF!</f>
        <v>#REF!</v>
      </c>
      <c r="N41" s="9" t="e">
        <f>IF(OR('Пшеница мягкая 28 сен'!#REF!="",'Пшеница мягкая 28 сен'!#REF!=0),"",'Пшеница мягкая 28 сен'!#REF!-'Пшеница мягкая 28 сен'!#REF!)</f>
        <v>#REF!</v>
      </c>
      <c r="O41" s="8" t="e">
        <f>'Пшеница мягкая 28 сен'!#REF!</f>
        <v>#REF!</v>
      </c>
    </row>
    <row r="42" spans="1:15" ht="20.25" x14ac:dyDescent="0.25">
      <c r="A42" s="10" t="e">
        <f>'Пшеница мягкая 28 сен'!#REF!</f>
        <v>#REF!</v>
      </c>
      <c r="B42" s="9" t="e">
        <f>IF('Пшеница мягкая 28 сен'!#REF!="","",'Пшеница мягкая 28 сен'!#REF!-'Пшеница мягкая 28 сен'!#REF!)</f>
        <v>#REF!</v>
      </c>
      <c r="C42" s="8" t="e">
        <f>'Пшеница мягкая 28 сен'!#REF!</f>
        <v>#REF!</v>
      </c>
      <c r="D42" s="9" t="e">
        <f>IF('Пшеница мягкая 28 сен'!#REF!="","",'Пшеница мягкая 28 сен'!#REF!-'Пшеница мягкая 28 сен'!#REF!)</f>
        <v>#REF!</v>
      </c>
      <c r="E42" s="8" t="e">
        <f>'Пшеница мягкая 28 сен'!#REF!</f>
        <v>#REF!</v>
      </c>
      <c r="F42" s="9" t="e">
        <f>IF('Пшеница мягкая 28 сен'!#REF!=0,"",'Пшеница мягкая 28 сен'!#REF!-'Пшеница мягкая 28 сен'!#REF!)</f>
        <v>#REF!</v>
      </c>
      <c r="G42" s="8" t="e">
        <f>'Пшеница мягкая 28 сен'!#REF!</f>
        <v>#REF!</v>
      </c>
      <c r="H42" s="9" t="e">
        <f>IF('Пшеница мягкая 28 сен'!#REF!=0,"",'Пшеница мягкая 28 сен'!#REF!-'Пшеница мягкая 28 сен'!#REF!)</f>
        <v>#REF!</v>
      </c>
      <c r="I42" s="8" t="e">
        <f>'Пшеница мягкая 28 сен'!#REF!</f>
        <v>#REF!</v>
      </c>
      <c r="J42" s="9" t="e">
        <f>IF('Пшеница мягкая 28 сен'!#REF!=0,"",'Пшеница мягкая 28 сен'!#REF!-'Пшеница мягкая 28 сен'!#REF!)</f>
        <v>#REF!</v>
      </c>
      <c r="K42" s="8" t="e">
        <f>'Пшеница мягкая 28 сен'!#REF!</f>
        <v>#REF!</v>
      </c>
      <c r="L42" s="9" t="e">
        <f>IF('Пшеница мягкая 28 сен'!#REF!=0,"",'Пшеница мягкая 28 сен'!#REF!-'Пшеница мягкая 28 сен'!#REF!)</f>
        <v>#REF!</v>
      </c>
      <c r="M42" s="8" t="e">
        <f>'Пшеница мягкая 28 сен'!#REF!</f>
        <v>#REF!</v>
      </c>
      <c r="N42" s="9" t="e">
        <f>IF(OR('Пшеница мягкая 28 сен'!#REF!="",'Пшеница мягкая 28 сен'!#REF!=0),"",'Пшеница мягкая 28 сен'!#REF!-'Пшеница мягкая 28 сен'!#REF!)</f>
        <v>#REF!</v>
      </c>
      <c r="O42" s="8" t="e">
        <f>'Пшеница мягкая 28 сен'!#REF!</f>
        <v>#REF!</v>
      </c>
    </row>
    <row r="43" spans="1:15" ht="20.25" x14ac:dyDescent="0.25">
      <c r="A43" s="10" t="e">
        <f>'Пшеница мягкая 28 сен'!#REF!</f>
        <v>#REF!</v>
      </c>
      <c r="B43" s="9" t="e">
        <f>IF('Пшеница мягкая 28 сен'!#REF!="","",'Пшеница мягкая 28 сен'!#REF!-'Пшеница мягкая 28 сен'!#REF!)</f>
        <v>#REF!</v>
      </c>
      <c r="C43" s="8" t="e">
        <f>'Пшеница мягкая 28 сен'!#REF!</f>
        <v>#REF!</v>
      </c>
      <c r="D43" s="9" t="e">
        <f>IF('Пшеница мягкая 28 сен'!#REF!="","",'Пшеница мягкая 28 сен'!#REF!-'Пшеница мягкая 28 сен'!#REF!)</f>
        <v>#REF!</v>
      </c>
      <c r="E43" s="8" t="e">
        <f>'Пшеница мягкая 28 сен'!#REF!</f>
        <v>#REF!</v>
      </c>
      <c r="F43" s="9" t="e">
        <f>IF('Пшеница мягкая 28 сен'!#REF!=0,"",'Пшеница мягкая 28 сен'!#REF!-'Пшеница мягкая 28 сен'!#REF!)</f>
        <v>#REF!</v>
      </c>
      <c r="G43" s="8" t="e">
        <f>'Пшеница мягкая 28 сен'!#REF!</f>
        <v>#REF!</v>
      </c>
      <c r="H43" s="9" t="e">
        <f>IF('Пшеница мягкая 28 сен'!#REF!=0,"",'Пшеница мягкая 28 сен'!#REF!-'Пшеница мягкая 28 сен'!#REF!)</f>
        <v>#REF!</v>
      </c>
      <c r="I43" s="8" t="e">
        <f>'Пшеница мягкая 28 сен'!#REF!</f>
        <v>#REF!</v>
      </c>
      <c r="J43" s="9" t="e">
        <f>IF('Пшеница мягкая 28 сен'!#REF!=0,"",'Пшеница мягкая 28 сен'!#REF!-'Пшеница мягкая 28 сен'!#REF!)</f>
        <v>#REF!</v>
      </c>
      <c r="K43" s="8" t="e">
        <f>'Пшеница мягкая 28 сен'!#REF!</f>
        <v>#REF!</v>
      </c>
      <c r="L43" s="9" t="e">
        <f>IF('Пшеница мягкая 28 сен'!#REF!=0,"",'Пшеница мягкая 28 сен'!#REF!-'Пшеница мягкая 28 сен'!#REF!)</f>
        <v>#REF!</v>
      </c>
      <c r="M43" s="8" t="e">
        <f>'Пшеница мягкая 28 сен'!#REF!</f>
        <v>#REF!</v>
      </c>
      <c r="N43" s="9" t="e">
        <f>IF(OR('Пшеница мягкая 28 сен'!#REF!="",'Пшеница мягкая 28 сен'!#REF!=0),"",'Пшеница мягкая 28 сен'!#REF!-'Пшеница мягкая 28 сен'!#REF!)</f>
        <v>#REF!</v>
      </c>
      <c r="O43" s="8" t="e">
        <f>'Пшеница мягкая 28 сен'!#REF!</f>
        <v>#REF!</v>
      </c>
    </row>
    <row r="44" spans="1:15" ht="20.25" x14ac:dyDescent="0.25">
      <c r="A44" s="10" t="e">
        <f>'Пшеница мягкая 28 сен'!#REF!</f>
        <v>#REF!</v>
      </c>
      <c r="B44" s="9" t="e">
        <f>IF('Пшеница мягкая 28 сен'!#REF!="","",'Пшеница мягкая 28 сен'!#REF!-'Пшеница мягкая 28 сен'!#REF!)</f>
        <v>#REF!</v>
      </c>
      <c r="C44" s="8" t="e">
        <f>'Пшеница мягкая 28 сен'!#REF!</f>
        <v>#REF!</v>
      </c>
      <c r="D44" s="9" t="e">
        <f>IF('Пшеница мягкая 28 сен'!#REF!="","",'Пшеница мягкая 28 сен'!#REF!-'Пшеница мягкая 28 сен'!#REF!)</f>
        <v>#REF!</v>
      </c>
      <c r="E44" s="8" t="e">
        <f>'Пшеница мягкая 28 сен'!#REF!</f>
        <v>#REF!</v>
      </c>
      <c r="F44" s="9" t="e">
        <f>IF('Пшеница мягкая 28 сен'!#REF!=0,"",'Пшеница мягкая 28 сен'!#REF!-'Пшеница мягкая 28 сен'!#REF!)</f>
        <v>#REF!</v>
      </c>
      <c r="G44" s="8" t="e">
        <f>'Пшеница мягкая 28 сен'!#REF!</f>
        <v>#REF!</v>
      </c>
      <c r="H44" s="9" t="e">
        <f>IF('Пшеница мягкая 28 сен'!#REF!=0,"",'Пшеница мягкая 28 сен'!#REF!-'Пшеница мягкая 28 сен'!#REF!)</f>
        <v>#REF!</v>
      </c>
      <c r="I44" s="8" t="e">
        <f>'Пшеница мягкая 28 сен'!#REF!</f>
        <v>#REF!</v>
      </c>
      <c r="J44" s="9" t="e">
        <f>IF('Пшеница мягкая 28 сен'!#REF!=0,"",'Пшеница мягкая 28 сен'!#REF!-'Пшеница мягкая 28 сен'!#REF!)</f>
        <v>#REF!</v>
      </c>
      <c r="K44" s="8" t="e">
        <f>'Пшеница мягкая 28 сен'!#REF!</f>
        <v>#REF!</v>
      </c>
      <c r="L44" s="9" t="e">
        <f>IF('Пшеница мягкая 28 сен'!#REF!=0,"",'Пшеница мягкая 28 сен'!#REF!-'Пшеница мягкая 28 сен'!#REF!)</f>
        <v>#REF!</v>
      </c>
      <c r="M44" s="8" t="e">
        <f>'Пшеница мягкая 28 сен'!#REF!</f>
        <v>#REF!</v>
      </c>
      <c r="N44" s="9" t="e">
        <f>IF(OR('Пшеница мягкая 28 сен'!#REF!="",'Пшеница мягкая 28 сен'!#REF!=0),"",'Пшеница мягкая 28 сен'!#REF!-'Пшеница мягкая 28 сен'!#REF!)</f>
        <v>#REF!</v>
      </c>
      <c r="O44" s="8" t="e">
        <f>'Пшеница мягкая 28 сен'!#REF!</f>
        <v>#REF!</v>
      </c>
    </row>
    <row r="45" spans="1:15" ht="20.25" x14ac:dyDescent="0.25">
      <c r="A45" s="10" t="e">
        <f>'Пшеница мягкая 28 сен'!#REF!</f>
        <v>#REF!</v>
      </c>
      <c r="B45" s="9" t="e">
        <f>IF('Пшеница мягкая 28 сен'!#REF!="","",'Пшеница мягкая 28 сен'!#REF!-'Пшеница мягкая 28 сен'!#REF!)</f>
        <v>#REF!</v>
      </c>
      <c r="C45" s="8" t="e">
        <f>'Пшеница мягкая 28 сен'!#REF!</f>
        <v>#REF!</v>
      </c>
      <c r="D45" s="9" t="e">
        <f>IF('Пшеница мягкая 28 сен'!#REF!="","",'Пшеница мягкая 28 сен'!#REF!-'Пшеница мягкая 28 сен'!#REF!)</f>
        <v>#REF!</v>
      </c>
      <c r="E45" s="8" t="e">
        <f>'Пшеница мягкая 28 сен'!#REF!</f>
        <v>#REF!</v>
      </c>
      <c r="F45" s="9" t="e">
        <f>IF('Пшеница мягкая 28 сен'!#REF!=0,"",'Пшеница мягкая 28 сен'!#REF!-'Пшеница мягкая 28 сен'!#REF!)</f>
        <v>#REF!</v>
      </c>
      <c r="G45" s="8" t="e">
        <f>'Пшеница мягкая 28 сен'!#REF!</f>
        <v>#REF!</v>
      </c>
      <c r="H45" s="9" t="e">
        <f>IF('Пшеница мягкая 28 сен'!#REF!=0,"",'Пшеница мягкая 28 сен'!#REF!-'Пшеница мягкая 28 сен'!#REF!)</f>
        <v>#REF!</v>
      </c>
      <c r="I45" s="8" t="e">
        <f>'Пшеница мягкая 28 сен'!#REF!</f>
        <v>#REF!</v>
      </c>
      <c r="J45" s="9" t="e">
        <f>IF('Пшеница мягкая 28 сен'!#REF!=0,"",'Пшеница мягкая 28 сен'!#REF!-'Пшеница мягкая 28 сен'!#REF!)</f>
        <v>#REF!</v>
      </c>
      <c r="K45" s="8" t="e">
        <f>'Пшеница мягкая 28 сен'!#REF!</f>
        <v>#REF!</v>
      </c>
      <c r="L45" s="9" t="e">
        <f>IF('Пшеница мягкая 28 сен'!#REF!=0,"",'Пшеница мягкая 28 сен'!#REF!-'Пшеница мягкая 28 сен'!#REF!)</f>
        <v>#REF!</v>
      </c>
      <c r="M45" s="8" t="e">
        <f>'Пшеница мягкая 28 сен'!#REF!</f>
        <v>#REF!</v>
      </c>
      <c r="N45" s="9" t="e">
        <f>IF(OR('Пшеница мягкая 28 сен'!#REF!="",'Пшеница мягкая 28 сен'!#REF!=0),"",'Пшеница мягкая 28 сен'!#REF!-'Пшеница мягкая 28 сен'!#REF!)</f>
        <v>#REF!</v>
      </c>
      <c r="O45" s="8" t="e">
        <f>'Пшеница мягкая 28 сен'!#REF!</f>
        <v>#REF!</v>
      </c>
    </row>
    <row r="46" spans="1:15" ht="20.25" x14ac:dyDescent="0.25">
      <c r="A46" s="10" t="e">
        <f>'Пшеница мягкая 28 сен'!#REF!</f>
        <v>#REF!</v>
      </c>
      <c r="B46" s="9" t="e">
        <f>IF('Пшеница мягкая 28 сен'!#REF!="","",'Пшеница мягкая 28 сен'!#REF!-'Пшеница мягкая 28 сен'!#REF!)</f>
        <v>#REF!</v>
      </c>
      <c r="C46" s="8" t="e">
        <f>'Пшеница мягкая 28 сен'!#REF!</f>
        <v>#REF!</v>
      </c>
      <c r="D46" s="9" t="e">
        <f>IF('Пшеница мягкая 28 сен'!#REF!="","",'Пшеница мягкая 28 сен'!#REF!-'Пшеница мягкая 28 сен'!#REF!)</f>
        <v>#REF!</v>
      </c>
      <c r="E46" s="8" t="e">
        <f>'Пшеница мягкая 28 сен'!#REF!</f>
        <v>#REF!</v>
      </c>
      <c r="F46" s="9" t="e">
        <f>IF('Пшеница мягкая 28 сен'!#REF!=0,"",'Пшеница мягкая 28 сен'!#REF!-'Пшеница мягкая 28 сен'!#REF!)</f>
        <v>#REF!</v>
      </c>
      <c r="G46" s="8" t="e">
        <f>'Пшеница мягкая 28 сен'!#REF!</f>
        <v>#REF!</v>
      </c>
      <c r="H46" s="9" t="e">
        <f>IF('Пшеница мягкая 28 сен'!#REF!=0,"",'Пшеница мягкая 28 сен'!#REF!-'Пшеница мягкая 28 сен'!#REF!)</f>
        <v>#REF!</v>
      </c>
      <c r="I46" s="8" t="e">
        <f>'Пшеница мягкая 28 сен'!#REF!</f>
        <v>#REF!</v>
      </c>
      <c r="J46" s="9" t="e">
        <f>IF('Пшеница мягкая 28 сен'!#REF!=0,"",'Пшеница мягкая 28 сен'!#REF!-'Пшеница мягкая 28 сен'!#REF!)</f>
        <v>#REF!</v>
      </c>
      <c r="K46" s="8" t="e">
        <f>'Пшеница мягкая 28 сен'!#REF!</f>
        <v>#REF!</v>
      </c>
      <c r="L46" s="9" t="e">
        <f>IF('Пшеница мягкая 28 сен'!#REF!=0,"",'Пшеница мягкая 28 сен'!#REF!-'Пшеница мягкая 28 сен'!#REF!)</f>
        <v>#REF!</v>
      </c>
      <c r="M46" s="8" t="e">
        <f>'Пшеница мягкая 28 сен'!#REF!</f>
        <v>#REF!</v>
      </c>
      <c r="N46" s="9" t="e">
        <f>IF(OR('Пшеница мягкая 28 сен'!#REF!="",'Пшеница мягкая 28 сен'!#REF!=0),"",'Пшеница мягкая 28 сен'!#REF!-'Пшеница мягкая 28 сен'!#REF!)</f>
        <v>#REF!</v>
      </c>
      <c r="O46" s="8" t="e">
        <f>'Пшеница мягкая 28 сен'!#REF!</f>
        <v>#REF!</v>
      </c>
    </row>
    <row r="47" spans="1:15" ht="20.25" x14ac:dyDescent="0.25">
      <c r="A47" s="10" t="e">
        <f>'Пшеница мягкая 28 сен'!#REF!</f>
        <v>#REF!</v>
      </c>
      <c r="B47" s="9" t="e">
        <f>IF('Пшеница мягкая 28 сен'!#REF!="","",'Пшеница мягкая 28 сен'!#REF!-'Пшеница мягкая 28 сен'!#REF!)</f>
        <v>#REF!</v>
      </c>
      <c r="C47" s="8" t="e">
        <f>'Пшеница мягкая 28 сен'!#REF!</f>
        <v>#REF!</v>
      </c>
      <c r="D47" s="9" t="e">
        <f>IF('Пшеница мягкая 28 сен'!#REF!="","",'Пшеница мягкая 28 сен'!#REF!-'Пшеница мягкая 28 сен'!#REF!)</f>
        <v>#REF!</v>
      </c>
      <c r="E47" s="8" t="e">
        <f>'Пшеница мягкая 28 сен'!#REF!</f>
        <v>#REF!</v>
      </c>
      <c r="F47" s="9" t="e">
        <f>IF('Пшеница мягкая 28 сен'!#REF!=0,"",'Пшеница мягкая 28 сен'!#REF!-'Пшеница мягкая 28 сен'!#REF!)</f>
        <v>#REF!</v>
      </c>
      <c r="G47" s="8" t="e">
        <f>'Пшеница мягкая 28 сен'!#REF!</f>
        <v>#REF!</v>
      </c>
      <c r="H47" s="9" t="e">
        <f>IF('Пшеница мягкая 28 сен'!#REF!=0,"",'Пшеница мягкая 28 сен'!#REF!-'Пшеница мягкая 28 сен'!#REF!)</f>
        <v>#REF!</v>
      </c>
      <c r="I47" s="8" t="e">
        <f>'Пшеница мягкая 28 сен'!#REF!</f>
        <v>#REF!</v>
      </c>
      <c r="J47" s="9" t="e">
        <f>IF('Пшеница мягкая 28 сен'!#REF!=0,"",'Пшеница мягкая 28 сен'!#REF!-'Пшеница мягкая 28 сен'!#REF!)</f>
        <v>#REF!</v>
      </c>
      <c r="K47" s="8" t="e">
        <f>'Пшеница мягкая 28 сен'!#REF!</f>
        <v>#REF!</v>
      </c>
      <c r="L47" s="9" t="e">
        <f>IF('Пшеница мягкая 28 сен'!#REF!=0,"",'Пшеница мягкая 28 сен'!#REF!-'Пшеница мягкая 28 сен'!#REF!)</f>
        <v>#REF!</v>
      </c>
      <c r="M47" s="8" t="e">
        <f>'Пшеница мягкая 28 сен'!#REF!</f>
        <v>#REF!</v>
      </c>
      <c r="N47" s="9" t="e">
        <f>IF(OR('Пшеница мягкая 28 сен'!#REF!="",'Пшеница мягкая 28 сен'!#REF!=0),"",'Пшеница мягкая 28 сен'!#REF!-'Пшеница мягкая 28 сен'!#REF!)</f>
        <v>#REF!</v>
      </c>
      <c r="O47" s="8" t="e">
        <f>'Пшеница мягкая 28 сен'!#REF!</f>
        <v>#REF!</v>
      </c>
    </row>
    <row r="48" spans="1:15" ht="20.25" x14ac:dyDescent="0.25">
      <c r="A48" s="10" t="e">
        <f>'Пшеница мягкая 28 сен'!#REF!</f>
        <v>#REF!</v>
      </c>
      <c r="B48" s="9" t="e">
        <f>IF('Пшеница мягкая 28 сен'!#REF!="","",'Пшеница мягкая 28 сен'!#REF!-'Пшеница мягкая 28 сен'!#REF!)</f>
        <v>#REF!</v>
      </c>
      <c r="C48" s="8" t="e">
        <f>'Пшеница мягкая 28 сен'!#REF!</f>
        <v>#REF!</v>
      </c>
      <c r="D48" s="9" t="e">
        <f>IF('Пшеница мягкая 28 сен'!#REF!="","",'Пшеница мягкая 28 сен'!#REF!-'Пшеница мягкая 28 сен'!#REF!)</f>
        <v>#REF!</v>
      </c>
      <c r="E48" s="8" t="e">
        <f>'Пшеница мягкая 28 сен'!#REF!</f>
        <v>#REF!</v>
      </c>
      <c r="F48" s="9" t="e">
        <f>IF('Пшеница мягкая 28 сен'!#REF!=0,"",'Пшеница мягкая 28 сен'!#REF!-'Пшеница мягкая 28 сен'!#REF!)</f>
        <v>#REF!</v>
      </c>
      <c r="G48" s="8" t="e">
        <f>'Пшеница мягкая 28 сен'!#REF!</f>
        <v>#REF!</v>
      </c>
      <c r="H48" s="9" t="e">
        <f>IF('Пшеница мягкая 28 сен'!#REF!=0,"",'Пшеница мягкая 28 сен'!#REF!-'Пшеница мягкая 28 сен'!#REF!)</f>
        <v>#REF!</v>
      </c>
      <c r="I48" s="8" t="e">
        <f>'Пшеница мягкая 28 сен'!#REF!</f>
        <v>#REF!</v>
      </c>
      <c r="J48" s="9" t="e">
        <f>IF('Пшеница мягкая 28 сен'!#REF!=0,"",'Пшеница мягкая 28 сен'!#REF!-'Пшеница мягкая 28 сен'!#REF!)</f>
        <v>#REF!</v>
      </c>
      <c r="K48" s="8" t="e">
        <f>'Пшеница мягкая 28 сен'!#REF!</f>
        <v>#REF!</v>
      </c>
      <c r="L48" s="9" t="e">
        <f>IF('Пшеница мягкая 28 сен'!#REF!=0,"",'Пшеница мягкая 28 сен'!#REF!-'Пшеница мягкая 28 сен'!#REF!)</f>
        <v>#REF!</v>
      </c>
      <c r="M48" s="8" t="e">
        <f>'Пшеница мягкая 28 сен'!#REF!</f>
        <v>#REF!</v>
      </c>
      <c r="N48" s="9" t="e">
        <f>IF(OR('Пшеница мягкая 28 сен'!#REF!="",'Пшеница мягкая 28 сен'!#REF!=0),"",'Пшеница мягкая 28 сен'!#REF!-'Пшеница мягкая 28 сен'!#REF!)</f>
        <v>#REF!</v>
      </c>
      <c r="O48" s="8" t="e">
        <f>'Пшеница мягкая 28 сен'!#REF!</f>
        <v>#REF!</v>
      </c>
    </row>
    <row r="49" spans="1:15" ht="20.25" x14ac:dyDescent="0.25">
      <c r="A49" s="10" t="e">
        <f>'Пшеница мягкая 28 сен'!#REF!</f>
        <v>#REF!</v>
      </c>
      <c r="B49" s="9" t="e">
        <f>IF('Пшеница мягкая 28 сен'!#REF!="","",'Пшеница мягкая 28 сен'!#REF!-'Пшеница мягкая 28 сен'!#REF!)</f>
        <v>#REF!</v>
      </c>
      <c r="C49" s="8" t="e">
        <f>'Пшеница мягкая 28 сен'!#REF!</f>
        <v>#REF!</v>
      </c>
      <c r="D49" s="9" t="e">
        <f>IF('Пшеница мягкая 28 сен'!#REF!="","",'Пшеница мягкая 28 сен'!#REF!-'Пшеница мягкая 28 сен'!#REF!)</f>
        <v>#REF!</v>
      </c>
      <c r="E49" s="8" t="e">
        <f>'Пшеница мягкая 28 сен'!#REF!</f>
        <v>#REF!</v>
      </c>
      <c r="F49" s="9" t="e">
        <f>IF('Пшеница мягкая 28 сен'!#REF!=0,"",'Пшеница мягкая 28 сен'!#REF!-'Пшеница мягкая 28 сен'!#REF!)</f>
        <v>#REF!</v>
      </c>
      <c r="G49" s="8" t="e">
        <f>'Пшеница мягкая 28 сен'!#REF!</f>
        <v>#REF!</v>
      </c>
      <c r="H49" s="9" t="e">
        <f>IF('Пшеница мягкая 28 сен'!#REF!=0,"",'Пшеница мягкая 28 сен'!#REF!-'Пшеница мягкая 28 сен'!#REF!)</f>
        <v>#REF!</v>
      </c>
      <c r="I49" s="8" t="e">
        <f>'Пшеница мягкая 28 сен'!#REF!</f>
        <v>#REF!</v>
      </c>
      <c r="J49" s="9" t="e">
        <f>IF('Пшеница мягкая 28 сен'!#REF!=0,"",'Пшеница мягкая 28 сен'!#REF!-'Пшеница мягкая 28 сен'!#REF!)</f>
        <v>#REF!</v>
      </c>
      <c r="K49" s="8" t="e">
        <f>'Пшеница мягкая 28 сен'!#REF!</f>
        <v>#REF!</v>
      </c>
      <c r="L49" s="9" t="e">
        <f>IF('Пшеница мягкая 28 сен'!#REF!=0,"",'Пшеница мягкая 28 сен'!#REF!-'Пшеница мягкая 28 сен'!#REF!)</f>
        <v>#REF!</v>
      </c>
      <c r="M49" s="8" t="e">
        <f>'Пшеница мягкая 28 сен'!#REF!</f>
        <v>#REF!</v>
      </c>
      <c r="N49" s="9" t="e">
        <f>IF(OR('Пшеница мягкая 28 сен'!#REF!="",'Пшеница мягкая 28 сен'!#REF!=0),"",'Пшеница мягкая 28 сен'!#REF!-'Пшеница мягкая 28 сен'!#REF!)</f>
        <v>#REF!</v>
      </c>
      <c r="O49" s="8" t="e">
        <f>'Пшеница мягкая 28 сен'!#REF!</f>
        <v>#REF!</v>
      </c>
    </row>
    <row r="50" spans="1:15" ht="20.25" x14ac:dyDescent="0.25">
      <c r="A50" s="10" t="e">
        <f>'Пшеница мягкая 28 сен'!#REF!</f>
        <v>#REF!</v>
      </c>
      <c r="B50" s="9" t="e">
        <f>IF('Пшеница мягкая 28 сен'!#REF!="","",'Пшеница мягкая 28 сен'!#REF!-'Пшеница мягкая 28 сен'!#REF!)</f>
        <v>#REF!</v>
      </c>
      <c r="C50" s="8" t="e">
        <f>'Пшеница мягкая 28 сен'!#REF!</f>
        <v>#REF!</v>
      </c>
      <c r="D50" s="9" t="e">
        <f>IF('Пшеница мягкая 28 сен'!#REF!="","",'Пшеница мягкая 28 сен'!#REF!-'Пшеница мягкая 28 сен'!#REF!)</f>
        <v>#REF!</v>
      </c>
      <c r="E50" s="8" t="e">
        <f>'Пшеница мягкая 28 сен'!#REF!</f>
        <v>#REF!</v>
      </c>
      <c r="F50" s="9" t="e">
        <f>IF('Пшеница мягкая 28 сен'!#REF!=0,"",'Пшеница мягкая 28 сен'!#REF!-'Пшеница мягкая 28 сен'!#REF!)</f>
        <v>#REF!</v>
      </c>
      <c r="G50" s="8" t="e">
        <f>'Пшеница мягкая 28 сен'!#REF!</f>
        <v>#REF!</v>
      </c>
      <c r="H50" s="9" t="e">
        <f>IF('Пшеница мягкая 28 сен'!#REF!=0,"",'Пшеница мягкая 28 сен'!#REF!-'Пшеница мягкая 28 сен'!#REF!)</f>
        <v>#REF!</v>
      </c>
      <c r="I50" s="8" t="e">
        <f>'Пшеница мягкая 28 сен'!#REF!</f>
        <v>#REF!</v>
      </c>
      <c r="J50" s="9" t="e">
        <f>IF('Пшеница мягкая 28 сен'!#REF!=0,"",'Пшеница мягкая 28 сен'!#REF!-'Пшеница мягкая 28 сен'!#REF!)</f>
        <v>#REF!</v>
      </c>
      <c r="K50" s="8" t="e">
        <f>'Пшеница мягкая 28 сен'!#REF!</f>
        <v>#REF!</v>
      </c>
      <c r="L50" s="9" t="e">
        <f>IF('Пшеница мягкая 28 сен'!#REF!=0,"",'Пшеница мягкая 28 сен'!#REF!-'Пшеница мягкая 28 сен'!#REF!)</f>
        <v>#REF!</v>
      </c>
      <c r="M50" s="8" t="e">
        <f>'Пшеница мягкая 28 сен'!#REF!</f>
        <v>#REF!</v>
      </c>
      <c r="N50" s="9" t="e">
        <f>IF(OR('Пшеница мягкая 28 сен'!#REF!="",'Пшеница мягкая 28 сен'!#REF!=0),"",'Пшеница мягкая 28 сен'!#REF!-'Пшеница мягкая 28 сен'!#REF!)</f>
        <v>#REF!</v>
      </c>
      <c r="O50" s="8" t="e">
        <f>'Пшеница мягкая 28 сен'!#REF!</f>
        <v>#REF!</v>
      </c>
    </row>
    <row r="51" spans="1:15" ht="20.25" x14ac:dyDescent="0.25">
      <c r="A51" s="10" t="e">
        <f>'Пшеница мягкая 28 сен'!#REF!</f>
        <v>#REF!</v>
      </c>
      <c r="B51" s="9" t="e">
        <f>IF('Пшеница мягкая 28 сен'!#REF!="","",'Пшеница мягкая 28 сен'!#REF!-'Пшеница мягкая 28 сен'!#REF!)</f>
        <v>#REF!</v>
      </c>
      <c r="C51" s="8" t="e">
        <f>'Пшеница мягкая 28 сен'!#REF!</f>
        <v>#REF!</v>
      </c>
      <c r="D51" s="9" t="e">
        <f>IF('Пшеница мягкая 28 сен'!#REF!="","",'Пшеница мягкая 28 сен'!#REF!-'Пшеница мягкая 28 сен'!#REF!)</f>
        <v>#REF!</v>
      </c>
      <c r="E51" s="8" t="e">
        <f>'Пшеница мягкая 28 сен'!#REF!</f>
        <v>#REF!</v>
      </c>
      <c r="F51" s="9" t="e">
        <f>IF('Пшеница мягкая 28 сен'!#REF!=0,"",'Пшеница мягкая 28 сен'!#REF!-'Пшеница мягкая 28 сен'!#REF!)</f>
        <v>#REF!</v>
      </c>
      <c r="G51" s="8" t="e">
        <f>'Пшеница мягкая 28 сен'!#REF!</f>
        <v>#REF!</v>
      </c>
      <c r="H51" s="9" t="e">
        <f>IF('Пшеница мягкая 28 сен'!#REF!=0,"",'Пшеница мягкая 28 сен'!#REF!-'Пшеница мягкая 28 сен'!#REF!)</f>
        <v>#REF!</v>
      </c>
      <c r="I51" s="8" t="e">
        <f>'Пшеница мягкая 28 сен'!#REF!</f>
        <v>#REF!</v>
      </c>
      <c r="J51" s="9" t="e">
        <f>IF('Пшеница мягкая 28 сен'!#REF!=0,"",'Пшеница мягкая 28 сен'!#REF!-'Пшеница мягкая 28 сен'!#REF!)</f>
        <v>#REF!</v>
      </c>
      <c r="K51" s="8" t="e">
        <f>'Пшеница мягкая 28 сен'!#REF!</f>
        <v>#REF!</v>
      </c>
      <c r="L51" s="9" t="e">
        <f>IF('Пшеница мягкая 28 сен'!#REF!=0,"",'Пшеница мягкая 28 сен'!#REF!-'Пшеница мягкая 28 сен'!#REF!)</f>
        <v>#REF!</v>
      </c>
      <c r="M51" s="8" t="e">
        <f>'Пшеница мягкая 28 сен'!#REF!</f>
        <v>#REF!</v>
      </c>
      <c r="N51" s="9" t="e">
        <f>IF(OR('Пшеница мягкая 28 сен'!#REF!="",'Пшеница мягкая 28 сен'!#REF!=0),"",'Пшеница мягкая 28 сен'!#REF!-'Пшеница мягкая 28 сен'!#REF!)</f>
        <v>#REF!</v>
      </c>
      <c r="O51" s="8" t="e">
        <f>'Пшеница мягкая 28 сен'!#REF!</f>
        <v>#REF!</v>
      </c>
    </row>
    <row r="52" spans="1:15" ht="20.25" x14ac:dyDescent="0.25">
      <c r="A52" s="10" t="e">
        <f>'Пшеница мягкая 28 сен'!#REF!</f>
        <v>#REF!</v>
      </c>
      <c r="B52" s="9" t="e">
        <f>IF('Пшеница мягкая 28 сен'!#REF!="","",'Пшеница мягкая 28 сен'!#REF!-'Пшеница мягкая 28 сен'!#REF!)</f>
        <v>#REF!</v>
      </c>
      <c r="C52" s="8" t="e">
        <f>'Пшеница мягкая 28 сен'!#REF!</f>
        <v>#REF!</v>
      </c>
      <c r="D52" s="9" t="e">
        <f>IF('Пшеница мягкая 28 сен'!#REF!="","",'Пшеница мягкая 28 сен'!#REF!-'Пшеница мягкая 28 сен'!#REF!)</f>
        <v>#REF!</v>
      </c>
      <c r="E52" s="8" t="e">
        <f>'Пшеница мягкая 28 сен'!#REF!</f>
        <v>#REF!</v>
      </c>
      <c r="F52" s="9" t="e">
        <f>IF('Пшеница мягкая 28 сен'!#REF!=0,"",'Пшеница мягкая 28 сен'!#REF!-'Пшеница мягкая 28 сен'!#REF!)</f>
        <v>#REF!</v>
      </c>
      <c r="G52" s="8" t="e">
        <f>'Пшеница мягкая 28 сен'!#REF!</f>
        <v>#REF!</v>
      </c>
      <c r="H52" s="9" t="e">
        <f>IF('Пшеница мягкая 28 сен'!#REF!=0,"",'Пшеница мягкая 28 сен'!#REF!-'Пшеница мягкая 28 сен'!#REF!)</f>
        <v>#REF!</v>
      </c>
      <c r="I52" s="8" t="e">
        <f>'Пшеница мягкая 28 сен'!#REF!</f>
        <v>#REF!</v>
      </c>
      <c r="J52" s="9" t="e">
        <f>IF('Пшеница мягкая 28 сен'!#REF!=0,"",'Пшеница мягкая 28 сен'!#REF!-'Пшеница мягкая 28 сен'!#REF!)</f>
        <v>#REF!</v>
      </c>
      <c r="K52" s="8" t="e">
        <f>'Пшеница мягкая 28 сен'!#REF!</f>
        <v>#REF!</v>
      </c>
      <c r="L52" s="9" t="e">
        <f>IF('Пшеница мягкая 28 сен'!#REF!=0,"",'Пшеница мягкая 28 сен'!#REF!-'Пшеница мягкая 28 сен'!#REF!)</f>
        <v>#REF!</v>
      </c>
      <c r="M52" s="8" t="e">
        <f>'Пшеница мягкая 28 сен'!#REF!</f>
        <v>#REF!</v>
      </c>
      <c r="N52" s="9" t="e">
        <f>IF(OR('Пшеница мягкая 28 сен'!#REF!="",'Пшеница мягкая 28 сен'!#REF!=0),"",'Пшеница мягкая 28 сен'!#REF!-'Пшеница мягкая 28 сен'!#REF!)</f>
        <v>#REF!</v>
      </c>
      <c r="O52" s="8" t="e">
        <f>'Пшеница мягкая 28 сен'!#REF!</f>
        <v>#REF!</v>
      </c>
    </row>
    <row r="53" spans="1:15" ht="20.25" x14ac:dyDescent="0.25">
      <c r="A53" s="10" t="e">
        <f>'Пшеница мягкая 28 сен'!#REF!</f>
        <v>#REF!</v>
      </c>
      <c r="B53" s="9" t="e">
        <f>IF('Пшеница мягкая 28 сен'!#REF!="","",'Пшеница мягкая 28 сен'!#REF!-'Пшеница мягкая 28 сен'!#REF!)</f>
        <v>#REF!</v>
      </c>
      <c r="C53" s="8" t="e">
        <f>'Пшеница мягкая 28 сен'!#REF!</f>
        <v>#REF!</v>
      </c>
      <c r="D53" s="9" t="e">
        <f>IF('Пшеница мягкая 28 сен'!#REF!="","",'Пшеница мягкая 28 сен'!#REF!-'Пшеница мягкая 28 сен'!#REF!)</f>
        <v>#REF!</v>
      </c>
      <c r="E53" s="8" t="e">
        <f>'Пшеница мягкая 28 сен'!#REF!</f>
        <v>#REF!</v>
      </c>
      <c r="F53" s="9" t="e">
        <f>IF('Пшеница мягкая 28 сен'!#REF!=0,"",'Пшеница мягкая 28 сен'!#REF!-'Пшеница мягкая 28 сен'!#REF!)</f>
        <v>#REF!</v>
      </c>
      <c r="G53" s="8" t="e">
        <f>'Пшеница мягкая 28 сен'!#REF!</f>
        <v>#REF!</v>
      </c>
      <c r="H53" s="9" t="e">
        <f>IF('Пшеница мягкая 28 сен'!#REF!=0,"",'Пшеница мягкая 28 сен'!#REF!-'Пшеница мягкая 28 сен'!#REF!)</f>
        <v>#REF!</v>
      </c>
      <c r="I53" s="8" t="e">
        <f>'Пшеница мягкая 28 сен'!#REF!</f>
        <v>#REF!</v>
      </c>
      <c r="J53" s="9" t="e">
        <f>IF('Пшеница мягкая 28 сен'!#REF!=0,"",'Пшеница мягкая 28 сен'!#REF!-'Пшеница мягкая 28 сен'!#REF!)</f>
        <v>#REF!</v>
      </c>
      <c r="K53" s="8" t="e">
        <f>'Пшеница мягкая 28 сен'!#REF!</f>
        <v>#REF!</v>
      </c>
      <c r="L53" s="9" t="e">
        <f>IF('Пшеница мягкая 28 сен'!#REF!=0,"",'Пшеница мягкая 28 сен'!#REF!-'Пшеница мягкая 28 сен'!#REF!)</f>
        <v>#REF!</v>
      </c>
      <c r="M53" s="8" t="e">
        <f>'Пшеница мягкая 28 сен'!#REF!</f>
        <v>#REF!</v>
      </c>
      <c r="N53" s="9" t="e">
        <f>IF(OR('Пшеница мягкая 28 сен'!#REF!="",'Пшеница мягкая 28 сен'!#REF!=0),"",'Пшеница мягкая 28 сен'!#REF!-'Пшеница мягкая 28 сен'!#REF!)</f>
        <v>#REF!</v>
      </c>
      <c r="O53" s="8" t="e">
        <f>'Пшеница мягкая 28 сен'!#REF!</f>
        <v>#REF!</v>
      </c>
    </row>
    <row r="54" spans="1:15" ht="20.25" x14ac:dyDescent="0.25">
      <c r="A54" s="10" t="e">
        <f>'Пшеница мягкая 28 сен'!#REF!</f>
        <v>#REF!</v>
      </c>
      <c r="B54" s="9" t="e">
        <f>IF('Пшеница мягкая 28 сен'!#REF!="","",'Пшеница мягкая 28 сен'!#REF!-'Пшеница мягкая 28 сен'!#REF!)</f>
        <v>#REF!</v>
      </c>
      <c r="C54" s="8" t="e">
        <f>'Пшеница мягкая 28 сен'!#REF!</f>
        <v>#REF!</v>
      </c>
      <c r="D54" s="9" t="e">
        <f>IF('Пшеница мягкая 28 сен'!#REF!="","",'Пшеница мягкая 28 сен'!#REF!-'Пшеница мягкая 28 сен'!#REF!)</f>
        <v>#REF!</v>
      </c>
      <c r="E54" s="8" t="e">
        <f>'Пшеница мягкая 28 сен'!#REF!</f>
        <v>#REF!</v>
      </c>
      <c r="F54" s="9" t="e">
        <f>IF('Пшеница мягкая 28 сен'!#REF!=0,"",'Пшеница мягкая 28 сен'!#REF!-'Пшеница мягкая 28 сен'!#REF!)</f>
        <v>#REF!</v>
      </c>
      <c r="G54" s="8" t="e">
        <f>'Пшеница мягкая 28 сен'!#REF!</f>
        <v>#REF!</v>
      </c>
      <c r="H54" s="9" t="e">
        <f>IF('Пшеница мягкая 28 сен'!#REF!=0,"",'Пшеница мягкая 28 сен'!#REF!-'Пшеница мягкая 28 сен'!#REF!)</f>
        <v>#REF!</v>
      </c>
      <c r="I54" s="8" t="e">
        <f>'Пшеница мягкая 28 сен'!#REF!</f>
        <v>#REF!</v>
      </c>
      <c r="J54" s="9" t="e">
        <f>IF('Пшеница мягкая 28 сен'!#REF!=0,"",'Пшеница мягкая 28 сен'!#REF!-'Пшеница мягкая 28 сен'!#REF!)</f>
        <v>#REF!</v>
      </c>
      <c r="K54" s="8" t="e">
        <f>'Пшеница мягкая 28 сен'!#REF!</f>
        <v>#REF!</v>
      </c>
      <c r="L54" s="9" t="e">
        <f>IF('Пшеница мягкая 28 сен'!#REF!=0,"",'Пшеница мягкая 28 сен'!#REF!-'Пшеница мягкая 28 сен'!#REF!)</f>
        <v>#REF!</v>
      </c>
      <c r="M54" s="8" t="e">
        <f>'Пшеница мягкая 28 сен'!#REF!</f>
        <v>#REF!</v>
      </c>
      <c r="N54" s="9" t="e">
        <f>IF(OR('Пшеница мягкая 28 сен'!#REF!="",'Пшеница мягкая 28 сен'!#REF!=0),"",'Пшеница мягкая 28 сен'!#REF!-'Пшеница мягкая 28 сен'!#REF!)</f>
        <v>#REF!</v>
      </c>
      <c r="O54" s="8" t="e">
        <f>'Пшеница мягкая 28 сен'!#REF!</f>
        <v>#REF!</v>
      </c>
    </row>
    <row r="55" spans="1:15" ht="20.25" x14ac:dyDescent="0.25">
      <c r="A55" s="10" t="e">
        <f>'Пшеница мягкая 28 сен'!#REF!</f>
        <v>#REF!</v>
      </c>
      <c r="B55" s="9" t="e">
        <f>IF('Пшеница мягкая 28 сен'!#REF!="","",'Пшеница мягкая 28 сен'!#REF!-'Пшеница мягкая 28 сен'!#REF!)</f>
        <v>#REF!</v>
      </c>
      <c r="C55" s="8" t="e">
        <f>'Пшеница мягкая 28 сен'!#REF!</f>
        <v>#REF!</v>
      </c>
      <c r="D55" s="9" t="e">
        <f>IF('Пшеница мягкая 28 сен'!#REF!="","",'Пшеница мягкая 28 сен'!#REF!-'Пшеница мягкая 28 сен'!#REF!)</f>
        <v>#REF!</v>
      </c>
      <c r="E55" s="8" t="e">
        <f>'Пшеница мягкая 28 сен'!#REF!</f>
        <v>#REF!</v>
      </c>
      <c r="F55" s="9" t="e">
        <f>IF('Пшеница мягкая 28 сен'!#REF!=0,"",'Пшеница мягкая 28 сен'!#REF!-'Пшеница мягкая 28 сен'!#REF!)</f>
        <v>#REF!</v>
      </c>
      <c r="G55" s="8" t="e">
        <f>'Пшеница мягкая 28 сен'!#REF!</f>
        <v>#REF!</v>
      </c>
      <c r="H55" s="9" t="e">
        <f>IF('Пшеница мягкая 28 сен'!#REF!=0,"",'Пшеница мягкая 28 сен'!#REF!-'Пшеница мягкая 28 сен'!#REF!)</f>
        <v>#REF!</v>
      </c>
      <c r="I55" s="8" t="e">
        <f>'Пшеница мягкая 28 сен'!#REF!</f>
        <v>#REF!</v>
      </c>
      <c r="J55" s="9" t="e">
        <f>IF('Пшеница мягкая 28 сен'!#REF!=0,"",'Пшеница мягкая 28 сен'!#REF!-'Пшеница мягкая 28 сен'!#REF!)</f>
        <v>#REF!</v>
      </c>
      <c r="K55" s="8" t="e">
        <f>'Пшеница мягкая 28 сен'!#REF!</f>
        <v>#REF!</v>
      </c>
      <c r="L55" s="9" t="e">
        <f>IF('Пшеница мягкая 28 сен'!#REF!=0,"",'Пшеница мягкая 28 сен'!#REF!-'Пшеница мягкая 28 сен'!#REF!)</f>
        <v>#REF!</v>
      </c>
      <c r="M55" s="8" t="e">
        <f>'Пшеница мягкая 28 сен'!#REF!</f>
        <v>#REF!</v>
      </c>
      <c r="N55" s="9" t="e">
        <f>IF(OR('Пшеница мягкая 28 сен'!#REF!="",'Пшеница мягкая 28 сен'!#REF!=0),"",'Пшеница мягкая 28 сен'!#REF!-'Пшеница мягкая 28 сен'!#REF!)</f>
        <v>#REF!</v>
      </c>
      <c r="O55" s="8" t="e">
        <f>'Пшеница мягкая 28 сен'!#REF!</f>
        <v>#REF!</v>
      </c>
    </row>
    <row r="56" spans="1:15" ht="20.25" x14ac:dyDescent="0.25">
      <c r="A56" s="10" t="e">
        <f>'Пшеница мягкая 28 сен'!#REF!</f>
        <v>#REF!</v>
      </c>
      <c r="B56" s="9" t="e">
        <f>IF('Пшеница мягкая 28 сен'!#REF!="","",'Пшеница мягкая 28 сен'!#REF!-'Пшеница мягкая 28 сен'!#REF!)</f>
        <v>#REF!</v>
      </c>
      <c r="C56" s="8" t="e">
        <f>'Пшеница мягкая 28 сен'!#REF!</f>
        <v>#REF!</v>
      </c>
      <c r="D56" s="9" t="e">
        <f>IF('Пшеница мягкая 28 сен'!#REF!="","",'Пшеница мягкая 28 сен'!#REF!-'Пшеница мягкая 28 сен'!#REF!)</f>
        <v>#REF!</v>
      </c>
      <c r="E56" s="8" t="e">
        <f>'Пшеница мягкая 28 сен'!#REF!</f>
        <v>#REF!</v>
      </c>
      <c r="F56" s="9" t="e">
        <f>IF('Пшеница мягкая 28 сен'!#REF!=0,"",'Пшеница мягкая 28 сен'!#REF!-'Пшеница мягкая 28 сен'!#REF!)</f>
        <v>#REF!</v>
      </c>
      <c r="G56" s="8" t="e">
        <f>'Пшеница мягкая 28 сен'!#REF!</f>
        <v>#REF!</v>
      </c>
      <c r="H56" s="9" t="e">
        <f>IF('Пшеница мягкая 28 сен'!#REF!=0,"",'Пшеница мягкая 28 сен'!#REF!-'Пшеница мягкая 28 сен'!#REF!)</f>
        <v>#REF!</v>
      </c>
      <c r="I56" s="8" t="e">
        <f>'Пшеница мягкая 28 сен'!#REF!</f>
        <v>#REF!</v>
      </c>
      <c r="J56" s="9" t="e">
        <f>IF('Пшеница мягкая 28 сен'!#REF!=0,"",'Пшеница мягкая 28 сен'!#REF!-'Пшеница мягкая 28 сен'!#REF!)</f>
        <v>#REF!</v>
      </c>
      <c r="K56" s="8" t="e">
        <f>'Пшеница мягкая 28 сен'!#REF!</f>
        <v>#REF!</v>
      </c>
      <c r="L56" s="9" t="e">
        <f>IF('Пшеница мягкая 28 сен'!#REF!=0,"",'Пшеница мягкая 28 сен'!#REF!-'Пшеница мягкая 28 сен'!#REF!)</f>
        <v>#REF!</v>
      </c>
      <c r="M56" s="8" t="e">
        <f>'Пшеница мягкая 28 сен'!#REF!</f>
        <v>#REF!</v>
      </c>
      <c r="N56" s="9" t="e">
        <f>IF(OR('Пшеница мягкая 28 сен'!#REF!="",'Пшеница мягкая 28 сен'!#REF!=0),"",'Пшеница мягкая 28 сен'!#REF!-'Пшеница мягкая 28 сен'!#REF!)</f>
        <v>#REF!</v>
      </c>
      <c r="O56" s="8" t="e">
        <f>'Пшеница мягкая 28 сен'!#REF!</f>
        <v>#REF!</v>
      </c>
    </row>
    <row r="57" spans="1:15" ht="20.25" x14ac:dyDescent="0.25">
      <c r="A57" s="10" t="e">
        <f>'Пшеница мягкая 28 сен'!#REF!</f>
        <v>#REF!</v>
      </c>
      <c r="B57" s="9" t="e">
        <f>IF('Пшеница мягкая 28 сен'!#REF!="","",'Пшеница мягкая 28 сен'!#REF!-'Пшеница мягкая 28 сен'!#REF!)</f>
        <v>#REF!</v>
      </c>
      <c r="C57" s="8" t="e">
        <f>'Пшеница мягкая 28 сен'!#REF!</f>
        <v>#REF!</v>
      </c>
      <c r="D57" s="9" t="e">
        <f>IF('Пшеница мягкая 28 сен'!#REF!="","",'Пшеница мягкая 28 сен'!#REF!-'Пшеница мягкая 28 сен'!#REF!)</f>
        <v>#REF!</v>
      </c>
      <c r="E57" s="8" t="e">
        <f>'Пшеница мягкая 28 сен'!#REF!</f>
        <v>#REF!</v>
      </c>
      <c r="F57" s="9" t="e">
        <f>IF('Пшеница мягкая 28 сен'!#REF!=0,"",'Пшеница мягкая 28 сен'!#REF!-'Пшеница мягкая 28 сен'!#REF!)</f>
        <v>#REF!</v>
      </c>
      <c r="G57" s="8" t="e">
        <f>'Пшеница мягкая 28 сен'!#REF!</f>
        <v>#REF!</v>
      </c>
      <c r="H57" s="9" t="e">
        <f>IF('Пшеница мягкая 28 сен'!#REF!=0,"",'Пшеница мягкая 28 сен'!#REF!-'Пшеница мягкая 28 сен'!#REF!)</f>
        <v>#REF!</v>
      </c>
      <c r="I57" s="8" t="e">
        <f>'Пшеница мягкая 28 сен'!#REF!</f>
        <v>#REF!</v>
      </c>
      <c r="J57" s="9" t="e">
        <f>IF('Пшеница мягкая 28 сен'!#REF!=0,"",'Пшеница мягкая 28 сен'!#REF!-'Пшеница мягкая 28 сен'!#REF!)</f>
        <v>#REF!</v>
      </c>
      <c r="K57" s="8" t="e">
        <f>'Пшеница мягкая 28 сен'!#REF!</f>
        <v>#REF!</v>
      </c>
      <c r="L57" s="9" t="e">
        <f>IF('Пшеница мягкая 28 сен'!#REF!=0,"",'Пшеница мягкая 28 сен'!#REF!-'Пшеница мягкая 28 сен'!#REF!)</f>
        <v>#REF!</v>
      </c>
      <c r="M57" s="8" t="e">
        <f>'Пшеница мягкая 28 сен'!#REF!</f>
        <v>#REF!</v>
      </c>
      <c r="N57" s="9" t="e">
        <f>IF(OR('Пшеница мягкая 28 сен'!#REF!="",'Пшеница мягкая 28 сен'!#REF!=0),"",'Пшеница мягкая 28 сен'!#REF!-'Пшеница мягкая 28 сен'!#REF!)</f>
        <v>#REF!</v>
      </c>
      <c r="O57" s="8" t="e">
        <f>'Пшеница мягкая 28 сен'!#REF!</f>
        <v>#REF!</v>
      </c>
    </row>
    <row r="58" spans="1:15" ht="20.25" x14ac:dyDescent="0.25">
      <c r="A58" s="10" t="e">
        <f>'Пшеница мягкая 28 сен'!#REF!</f>
        <v>#REF!</v>
      </c>
      <c r="B58" s="9" t="e">
        <f>IF('Пшеница мягкая 28 сен'!#REF!="","",'Пшеница мягкая 28 сен'!#REF!-'Пшеница мягкая 28 сен'!#REF!)</f>
        <v>#REF!</v>
      </c>
      <c r="C58" s="8" t="e">
        <f>'Пшеница мягкая 28 сен'!#REF!</f>
        <v>#REF!</v>
      </c>
      <c r="D58" s="9" t="e">
        <f>IF('Пшеница мягкая 28 сен'!#REF!="","",'Пшеница мягкая 28 сен'!#REF!-'Пшеница мягкая 28 сен'!#REF!)</f>
        <v>#REF!</v>
      </c>
      <c r="E58" s="8" t="e">
        <f>'Пшеница мягкая 28 сен'!#REF!</f>
        <v>#REF!</v>
      </c>
      <c r="F58" s="9" t="e">
        <f>IF('Пшеница мягкая 28 сен'!#REF!=0,"",'Пшеница мягкая 28 сен'!#REF!-'Пшеница мягкая 28 сен'!#REF!)</f>
        <v>#REF!</v>
      </c>
      <c r="G58" s="8" t="e">
        <f>'Пшеница мягкая 28 сен'!#REF!</f>
        <v>#REF!</v>
      </c>
      <c r="H58" s="9" t="e">
        <f>IF('Пшеница мягкая 28 сен'!#REF!=0,"",'Пшеница мягкая 28 сен'!#REF!-'Пшеница мягкая 28 сен'!#REF!)</f>
        <v>#REF!</v>
      </c>
      <c r="I58" s="8" t="e">
        <f>'Пшеница мягкая 28 сен'!#REF!</f>
        <v>#REF!</v>
      </c>
      <c r="J58" s="9" t="e">
        <f>IF('Пшеница мягкая 28 сен'!#REF!=0,"",'Пшеница мягкая 28 сен'!#REF!-'Пшеница мягкая 28 сен'!#REF!)</f>
        <v>#REF!</v>
      </c>
      <c r="K58" s="8" t="e">
        <f>'Пшеница мягкая 28 сен'!#REF!</f>
        <v>#REF!</v>
      </c>
      <c r="L58" s="9" t="e">
        <f>IF('Пшеница мягкая 28 сен'!#REF!=0,"",'Пшеница мягкая 28 сен'!#REF!-'Пшеница мягкая 28 сен'!#REF!)</f>
        <v>#REF!</v>
      </c>
      <c r="M58" s="8" t="e">
        <f>'Пшеница мягкая 28 сен'!#REF!</f>
        <v>#REF!</v>
      </c>
      <c r="N58" s="9" t="e">
        <f>IF(OR('Пшеница мягкая 28 сен'!#REF!="",'Пшеница мягкая 28 сен'!#REF!=0),"",'Пшеница мягкая 28 сен'!#REF!-'Пшеница мягкая 28 сен'!#REF!)</f>
        <v>#REF!</v>
      </c>
      <c r="O58" s="8" t="e">
        <f>'Пшеница мягкая 28 сен'!#REF!</f>
        <v>#REF!</v>
      </c>
    </row>
    <row r="59" spans="1:15" ht="20.25" x14ac:dyDescent="0.25">
      <c r="A59" s="10" t="e">
        <f>'Пшеница мягкая 28 сен'!#REF!</f>
        <v>#REF!</v>
      </c>
      <c r="B59" s="9" t="e">
        <f>IF('Пшеница мягкая 28 сен'!#REF!="","",'Пшеница мягкая 28 сен'!#REF!-'Пшеница мягкая 28 сен'!#REF!)</f>
        <v>#REF!</v>
      </c>
      <c r="C59" s="8" t="e">
        <f>'Пшеница мягкая 28 сен'!#REF!</f>
        <v>#REF!</v>
      </c>
      <c r="D59" s="9" t="e">
        <f>IF('Пшеница мягкая 28 сен'!#REF!="","",'Пшеница мягкая 28 сен'!#REF!-'Пшеница мягкая 28 сен'!#REF!)</f>
        <v>#REF!</v>
      </c>
      <c r="E59" s="8" t="e">
        <f>'Пшеница мягкая 28 сен'!#REF!</f>
        <v>#REF!</v>
      </c>
      <c r="F59" s="9" t="e">
        <f>IF('Пшеница мягкая 28 сен'!#REF!=0,"",'Пшеница мягкая 28 сен'!#REF!-'Пшеница мягкая 28 сен'!#REF!)</f>
        <v>#REF!</v>
      </c>
      <c r="G59" s="8" t="e">
        <f>'Пшеница мягкая 28 сен'!#REF!</f>
        <v>#REF!</v>
      </c>
      <c r="H59" s="9" t="e">
        <f>IF('Пшеница мягкая 28 сен'!#REF!=0,"",'Пшеница мягкая 28 сен'!#REF!-'Пшеница мягкая 28 сен'!#REF!)</f>
        <v>#REF!</v>
      </c>
      <c r="I59" s="8" t="e">
        <f>'Пшеница мягкая 28 сен'!#REF!</f>
        <v>#REF!</v>
      </c>
      <c r="J59" s="9" t="e">
        <f>IF('Пшеница мягкая 28 сен'!#REF!=0,"",'Пшеница мягкая 28 сен'!#REF!-'Пшеница мягкая 28 сен'!#REF!)</f>
        <v>#REF!</v>
      </c>
      <c r="K59" s="8" t="e">
        <f>'Пшеница мягкая 28 сен'!#REF!</f>
        <v>#REF!</v>
      </c>
      <c r="L59" s="9" t="e">
        <f>IF('Пшеница мягкая 28 сен'!#REF!=0,"",'Пшеница мягкая 28 сен'!#REF!-'Пшеница мягкая 28 сен'!#REF!)</f>
        <v>#REF!</v>
      </c>
      <c r="M59" s="8" t="e">
        <f>'Пшеница мягкая 28 сен'!#REF!</f>
        <v>#REF!</v>
      </c>
      <c r="N59" s="9" t="e">
        <f>IF(OR('Пшеница мягкая 28 сен'!#REF!="",'Пшеница мягкая 28 сен'!#REF!=0),"",'Пшеница мягкая 28 сен'!#REF!-'Пшеница мягкая 28 сен'!#REF!)</f>
        <v>#REF!</v>
      </c>
      <c r="O59" s="8" t="e">
        <f>'Пшеница мягкая 28 сен'!#REF!</f>
        <v>#REF!</v>
      </c>
    </row>
    <row r="60" spans="1:15" ht="20.25" x14ac:dyDescent="0.25">
      <c r="A60" s="10" t="e">
        <f>'Пшеница мягкая 28 сен'!#REF!</f>
        <v>#REF!</v>
      </c>
      <c r="B60" s="9" t="e">
        <f>IF('Пшеница мягкая 28 сен'!#REF!="","",'Пшеница мягкая 28 сен'!#REF!-'Пшеница мягкая 28 сен'!#REF!)</f>
        <v>#REF!</v>
      </c>
      <c r="C60" s="8" t="e">
        <f>'Пшеница мягкая 28 сен'!#REF!</f>
        <v>#REF!</v>
      </c>
      <c r="D60" s="9" t="e">
        <f>IF('Пшеница мягкая 28 сен'!#REF!="","",'Пшеница мягкая 28 сен'!#REF!-'Пшеница мягкая 28 сен'!#REF!)</f>
        <v>#REF!</v>
      </c>
      <c r="E60" s="8" t="e">
        <f>'Пшеница мягкая 28 сен'!#REF!</f>
        <v>#REF!</v>
      </c>
      <c r="F60" s="9" t="e">
        <f>IF('Пшеница мягкая 28 сен'!#REF!=0,"",'Пшеница мягкая 28 сен'!#REF!-'Пшеница мягкая 28 сен'!#REF!)</f>
        <v>#REF!</v>
      </c>
      <c r="G60" s="8" t="e">
        <f>'Пшеница мягкая 28 сен'!#REF!</f>
        <v>#REF!</v>
      </c>
      <c r="H60" s="9" t="e">
        <f>IF('Пшеница мягкая 28 сен'!#REF!=0,"",'Пшеница мягкая 28 сен'!#REF!-'Пшеница мягкая 28 сен'!#REF!)</f>
        <v>#REF!</v>
      </c>
      <c r="I60" s="8" t="e">
        <f>'Пшеница мягкая 28 сен'!#REF!</f>
        <v>#REF!</v>
      </c>
      <c r="J60" s="9" t="e">
        <f>IF('Пшеница мягкая 28 сен'!#REF!=0,"",'Пшеница мягкая 28 сен'!#REF!-'Пшеница мягкая 28 сен'!#REF!)</f>
        <v>#REF!</v>
      </c>
      <c r="K60" s="8" t="e">
        <f>'Пшеница мягкая 28 сен'!#REF!</f>
        <v>#REF!</v>
      </c>
      <c r="L60" s="9" t="e">
        <f>IF('Пшеница мягкая 28 сен'!#REF!=0,"",'Пшеница мягкая 28 сен'!#REF!-'Пшеница мягкая 28 сен'!#REF!)</f>
        <v>#REF!</v>
      </c>
      <c r="M60" s="8" t="e">
        <f>'Пшеница мягкая 28 сен'!#REF!</f>
        <v>#REF!</v>
      </c>
      <c r="N60" s="9" t="e">
        <f>IF(OR('Пшеница мягкая 28 сен'!#REF!="",'Пшеница мягкая 28 сен'!#REF!=0),"",'Пшеница мягкая 28 сен'!#REF!-'Пшеница мягкая 28 сен'!#REF!)</f>
        <v>#REF!</v>
      </c>
      <c r="O60" s="8" t="e">
        <f>'Пшеница мягкая 28 сен'!#REF!</f>
        <v>#REF!</v>
      </c>
    </row>
    <row r="61" spans="1:15" ht="20.25" x14ac:dyDescent="0.25">
      <c r="A61" s="10" t="e">
        <f>'Пшеница мягкая 28 сен'!#REF!</f>
        <v>#REF!</v>
      </c>
      <c r="B61" s="9" t="e">
        <f>IF('Пшеница мягкая 28 сен'!#REF!="","",'Пшеница мягкая 28 сен'!#REF!-'Пшеница мягкая 28 сен'!#REF!)</f>
        <v>#REF!</v>
      </c>
      <c r="C61" s="8" t="e">
        <f>'Пшеница мягкая 28 сен'!#REF!</f>
        <v>#REF!</v>
      </c>
      <c r="D61" s="9" t="e">
        <f>IF('Пшеница мягкая 28 сен'!#REF!="","",'Пшеница мягкая 28 сен'!#REF!-'Пшеница мягкая 28 сен'!#REF!)</f>
        <v>#REF!</v>
      </c>
      <c r="E61" s="8" t="e">
        <f>'Пшеница мягкая 28 сен'!#REF!</f>
        <v>#REF!</v>
      </c>
      <c r="F61" s="9" t="e">
        <f>IF('Пшеница мягкая 28 сен'!#REF!=0,"",'Пшеница мягкая 28 сен'!#REF!-'Пшеница мягкая 28 сен'!#REF!)</f>
        <v>#REF!</v>
      </c>
      <c r="G61" s="8" t="e">
        <f>'Пшеница мягкая 28 сен'!#REF!</f>
        <v>#REF!</v>
      </c>
      <c r="H61" s="9" t="e">
        <f>IF('Пшеница мягкая 28 сен'!#REF!=0,"",'Пшеница мягкая 28 сен'!#REF!-'Пшеница мягкая 28 сен'!#REF!)</f>
        <v>#REF!</v>
      </c>
      <c r="I61" s="8" t="e">
        <f>'Пшеница мягкая 28 сен'!#REF!</f>
        <v>#REF!</v>
      </c>
      <c r="J61" s="9" t="e">
        <f>IF('Пшеница мягкая 28 сен'!#REF!=0,"",'Пшеница мягкая 28 сен'!#REF!-'Пшеница мягкая 28 сен'!#REF!)</f>
        <v>#REF!</v>
      </c>
      <c r="K61" s="8" t="e">
        <f>'Пшеница мягкая 28 сен'!#REF!</f>
        <v>#REF!</v>
      </c>
      <c r="L61" s="9" t="e">
        <f>IF('Пшеница мягкая 28 сен'!#REF!=0,"",'Пшеница мягкая 28 сен'!#REF!-'Пшеница мягкая 28 сен'!#REF!)</f>
        <v>#REF!</v>
      </c>
      <c r="M61" s="8" t="e">
        <f>'Пшеница мягкая 28 сен'!#REF!</f>
        <v>#REF!</v>
      </c>
      <c r="N61" s="9" t="e">
        <f>IF(OR('Пшеница мягкая 28 сен'!#REF!="",'Пшеница мягкая 28 сен'!#REF!=0),"",'Пшеница мягкая 28 сен'!#REF!-'Пшеница мягкая 28 сен'!#REF!)</f>
        <v>#REF!</v>
      </c>
      <c r="O61" s="8" t="e">
        <f>'Пшеница мягкая 28 сен'!#REF!</f>
        <v>#REF!</v>
      </c>
    </row>
    <row r="62" spans="1:15" ht="20.25" x14ac:dyDescent="0.25">
      <c r="A62" s="10" t="e">
        <f>'Пшеница мягкая 28 сен'!#REF!</f>
        <v>#REF!</v>
      </c>
      <c r="B62" s="9" t="e">
        <f>IF('Пшеница мягкая 28 сен'!#REF!="","",'Пшеница мягкая 28 сен'!#REF!-'Пшеница мягкая 28 сен'!#REF!)</f>
        <v>#REF!</v>
      </c>
      <c r="C62" s="8" t="e">
        <f>'Пшеница мягкая 28 сен'!#REF!</f>
        <v>#REF!</v>
      </c>
      <c r="D62" s="9" t="e">
        <f>IF('Пшеница мягкая 28 сен'!#REF!="","",'Пшеница мягкая 28 сен'!#REF!-'Пшеница мягкая 28 сен'!#REF!)</f>
        <v>#REF!</v>
      </c>
      <c r="E62" s="8" t="e">
        <f>'Пшеница мягкая 28 сен'!#REF!</f>
        <v>#REF!</v>
      </c>
      <c r="F62" s="9" t="e">
        <f>IF('Пшеница мягкая 28 сен'!#REF!=0,"",'Пшеница мягкая 28 сен'!#REF!-'Пшеница мягкая 28 сен'!#REF!)</f>
        <v>#REF!</v>
      </c>
      <c r="G62" s="8" t="e">
        <f>'Пшеница мягкая 28 сен'!#REF!</f>
        <v>#REF!</v>
      </c>
      <c r="H62" s="9" t="e">
        <f>IF('Пшеница мягкая 28 сен'!#REF!=0,"",'Пшеница мягкая 28 сен'!#REF!-'Пшеница мягкая 28 сен'!#REF!)</f>
        <v>#REF!</v>
      </c>
      <c r="I62" s="8" t="e">
        <f>'Пшеница мягкая 28 сен'!#REF!</f>
        <v>#REF!</v>
      </c>
      <c r="J62" s="9" t="e">
        <f>IF('Пшеница мягкая 28 сен'!#REF!=0,"",'Пшеница мягкая 28 сен'!#REF!-'Пшеница мягкая 28 сен'!#REF!)</f>
        <v>#REF!</v>
      </c>
      <c r="K62" s="8" t="e">
        <f>'Пшеница мягкая 28 сен'!#REF!</f>
        <v>#REF!</v>
      </c>
      <c r="L62" s="9" t="e">
        <f>IF('Пшеница мягкая 28 сен'!#REF!=0,"",'Пшеница мягкая 28 сен'!#REF!-'Пшеница мягкая 28 сен'!#REF!)</f>
        <v>#REF!</v>
      </c>
      <c r="M62" s="8" t="e">
        <f>'Пшеница мягкая 28 сен'!#REF!</f>
        <v>#REF!</v>
      </c>
      <c r="N62" s="9" t="e">
        <f>IF(OR('Пшеница мягкая 28 сен'!#REF!="",'Пшеница мягкая 28 сен'!#REF!=0),"",'Пшеница мягкая 28 сен'!#REF!-'Пшеница мягкая 28 сен'!#REF!)</f>
        <v>#REF!</v>
      </c>
      <c r="O62" s="8" t="e">
        <f>'Пшеница мягкая 28 сен'!#REF!</f>
        <v>#REF!</v>
      </c>
    </row>
    <row r="63" spans="1:15" ht="20.25" x14ac:dyDescent="0.25">
      <c r="A63" s="10" t="e">
        <f>'Пшеница мягкая 28 сен'!#REF!</f>
        <v>#REF!</v>
      </c>
      <c r="B63" s="9" t="e">
        <f>IF('Пшеница мягкая 28 сен'!#REF!="","",'Пшеница мягкая 28 сен'!#REF!-'Пшеница мягкая 28 сен'!#REF!)</f>
        <v>#REF!</v>
      </c>
      <c r="C63" s="8" t="e">
        <f>'Пшеница мягкая 28 сен'!#REF!</f>
        <v>#REF!</v>
      </c>
      <c r="D63" s="9" t="e">
        <f>IF('Пшеница мягкая 28 сен'!#REF!="","",'Пшеница мягкая 28 сен'!#REF!-'Пшеница мягкая 28 сен'!#REF!)</f>
        <v>#REF!</v>
      </c>
      <c r="E63" s="8" t="e">
        <f>'Пшеница мягкая 28 сен'!#REF!</f>
        <v>#REF!</v>
      </c>
      <c r="F63" s="9" t="e">
        <f>IF('Пшеница мягкая 28 сен'!#REF!=0,"",'Пшеница мягкая 28 сен'!#REF!-'Пшеница мягкая 28 сен'!#REF!)</f>
        <v>#REF!</v>
      </c>
      <c r="G63" s="8" t="e">
        <f>'Пшеница мягкая 28 сен'!#REF!</f>
        <v>#REF!</v>
      </c>
      <c r="H63" s="9" t="e">
        <f>IF('Пшеница мягкая 28 сен'!#REF!=0,"",'Пшеница мягкая 28 сен'!#REF!-'Пшеница мягкая 28 сен'!#REF!)</f>
        <v>#REF!</v>
      </c>
      <c r="I63" s="8" t="e">
        <f>'Пшеница мягкая 28 сен'!#REF!</f>
        <v>#REF!</v>
      </c>
      <c r="J63" s="9" t="e">
        <f>IF('Пшеница мягкая 28 сен'!#REF!=0,"",'Пшеница мягкая 28 сен'!#REF!-'Пшеница мягкая 28 сен'!#REF!)</f>
        <v>#REF!</v>
      </c>
      <c r="K63" s="8" t="e">
        <f>'Пшеница мягкая 28 сен'!#REF!</f>
        <v>#REF!</v>
      </c>
      <c r="L63" s="9" t="e">
        <f>IF('Пшеница мягкая 28 сен'!#REF!=0,"",'Пшеница мягкая 28 сен'!#REF!-'Пшеница мягкая 28 сен'!#REF!)</f>
        <v>#REF!</v>
      </c>
      <c r="M63" s="8" t="e">
        <f>'Пшеница мягкая 28 сен'!#REF!</f>
        <v>#REF!</v>
      </c>
      <c r="N63" s="9" t="e">
        <f>IF(OR('Пшеница мягкая 28 сен'!#REF!="",'Пшеница мягкая 28 сен'!#REF!=0),"",'Пшеница мягкая 28 сен'!#REF!-'Пшеница мягкая 28 сен'!#REF!)</f>
        <v>#REF!</v>
      </c>
      <c r="O63" s="8" t="e">
        <f>'Пшеница мягкая 28 сен'!#REF!</f>
        <v>#REF!</v>
      </c>
    </row>
    <row r="64" spans="1:15" ht="20.25" x14ac:dyDescent="0.25">
      <c r="A64" s="10" t="e">
        <f>'Пшеница мягкая 28 сен'!#REF!</f>
        <v>#REF!</v>
      </c>
      <c r="B64" s="9" t="e">
        <f>IF('Пшеница мягкая 28 сен'!#REF!="","",'Пшеница мягкая 28 сен'!#REF!-'Пшеница мягкая 28 сен'!#REF!)</f>
        <v>#REF!</v>
      </c>
      <c r="C64" s="8" t="e">
        <f>'Пшеница мягкая 28 сен'!#REF!</f>
        <v>#REF!</v>
      </c>
      <c r="D64" s="9" t="e">
        <f>IF('Пшеница мягкая 28 сен'!#REF!="","",'Пшеница мягкая 28 сен'!#REF!-'Пшеница мягкая 28 сен'!#REF!)</f>
        <v>#REF!</v>
      </c>
      <c r="E64" s="8" t="e">
        <f>'Пшеница мягкая 28 сен'!#REF!</f>
        <v>#REF!</v>
      </c>
      <c r="F64" s="9" t="e">
        <f>IF('Пшеница мягкая 28 сен'!#REF!=0,"",'Пшеница мягкая 28 сен'!#REF!-'Пшеница мягкая 28 сен'!#REF!)</f>
        <v>#REF!</v>
      </c>
      <c r="G64" s="8" t="e">
        <f>'Пшеница мягкая 28 сен'!#REF!</f>
        <v>#REF!</v>
      </c>
      <c r="H64" s="9" t="e">
        <f>IF('Пшеница мягкая 28 сен'!#REF!=0,"",'Пшеница мягкая 28 сен'!#REF!-'Пшеница мягкая 28 сен'!#REF!)</f>
        <v>#REF!</v>
      </c>
      <c r="I64" s="8" t="e">
        <f>'Пшеница мягкая 28 сен'!#REF!</f>
        <v>#REF!</v>
      </c>
      <c r="J64" s="9" t="e">
        <f>IF('Пшеница мягкая 28 сен'!#REF!=0,"",'Пшеница мягкая 28 сен'!#REF!-'Пшеница мягкая 28 сен'!#REF!)</f>
        <v>#REF!</v>
      </c>
      <c r="K64" s="8" t="e">
        <f>'Пшеница мягкая 28 сен'!#REF!</f>
        <v>#REF!</v>
      </c>
      <c r="L64" s="9" t="e">
        <f>IF('Пшеница мягкая 28 сен'!#REF!=0,"",'Пшеница мягкая 28 сен'!#REF!-'Пшеница мягкая 28 сен'!#REF!)</f>
        <v>#REF!</v>
      </c>
      <c r="M64" s="8" t="e">
        <f>'Пшеница мягкая 28 сен'!#REF!</f>
        <v>#REF!</v>
      </c>
      <c r="N64" s="9" t="e">
        <f>IF(OR('Пшеница мягкая 28 сен'!#REF!="",'Пшеница мягкая 28 сен'!#REF!=0),"",'Пшеница мягкая 28 сен'!#REF!-'Пшеница мягкая 28 сен'!#REF!)</f>
        <v>#REF!</v>
      </c>
      <c r="O64" s="8" t="e">
        <f>'Пшеница мягкая 28 сен'!#REF!</f>
        <v>#REF!</v>
      </c>
    </row>
    <row r="65" spans="1:15" ht="20.25" x14ac:dyDescent="0.25">
      <c r="A65" s="10" t="e">
        <f>'Пшеница мягкая 28 сен'!#REF!</f>
        <v>#REF!</v>
      </c>
      <c r="B65" s="9" t="e">
        <f>IF('Пшеница мягкая 28 сен'!#REF!="","",'Пшеница мягкая 28 сен'!#REF!-'Пшеница мягкая 28 сен'!#REF!)</f>
        <v>#REF!</v>
      </c>
      <c r="C65" s="8" t="e">
        <f>'Пшеница мягкая 28 сен'!#REF!</f>
        <v>#REF!</v>
      </c>
      <c r="D65" s="9" t="e">
        <f>IF('Пшеница мягкая 28 сен'!#REF!="","",'Пшеница мягкая 28 сен'!#REF!-'Пшеница мягкая 28 сен'!#REF!)</f>
        <v>#REF!</v>
      </c>
      <c r="E65" s="8" t="e">
        <f>'Пшеница мягкая 28 сен'!#REF!</f>
        <v>#REF!</v>
      </c>
      <c r="F65" s="9" t="e">
        <f>IF('Пшеница мягкая 28 сен'!#REF!=0,"",'Пшеница мягкая 28 сен'!#REF!-'Пшеница мягкая 28 сен'!#REF!)</f>
        <v>#REF!</v>
      </c>
      <c r="G65" s="8" t="e">
        <f>'Пшеница мягкая 28 сен'!#REF!</f>
        <v>#REF!</v>
      </c>
      <c r="H65" s="9" t="e">
        <f>IF('Пшеница мягкая 28 сен'!#REF!=0,"",'Пшеница мягкая 28 сен'!#REF!-'Пшеница мягкая 28 сен'!#REF!)</f>
        <v>#REF!</v>
      </c>
      <c r="I65" s="8" t="e">
        <f>'Пшеница мягкая 28 сен'!#REF!</f>
        <v>#REF!</v>
      </c>
      <c r="J65" s="9" t="e">
        <f>IF('Пшеница мягкая 28 сен'!#REF!=0,"",'Пшеница мягкая 28 сен'!#REF!-'Пшеница мягкая 28 сен'!#REF!)</f>
        <v>#REF!</v>
      </c>
      <c r="K65" s="8" t="e">
        <f>'Пшеница мягкая 28 сен'!#REF!</f>
        <v>#REF!</v>
      </c>
      <c r="L65" s="9" t="e">
        <f>IF('Пшеница мягкая 28 сен'!#REF!=0,"",'Пшеница мягкая 28 сен'!#REF!-'Пшеница мягкая 28 сен'!#REF!)</f>
        <v>#REF!</v>
      </c>
      <c r="M65" s="8" t="e">
        <f>'Пшеница мягкая 28 сен'!#REF!</f>
        <v>#REF!</v>
      </c>
      <c r="N65" s="9" t="e">
        <f>IF(OR('Пшеница мягкая 28 сен'!#REF!="",'Пшеница мягкая 28 сен'!#REF!=0),"",'Пшеница мягкая 28 сен'!#REF!-'Пшеница мягкая 28 сен'!#REF!)</f>
        <v>#REF!</v>
      </c>
      <c r="O65" s="8" t="e">
        <f>'Пшеница мягкая 28 сен'!#REF!</f>
        <v>#REF!</v>
      </c>
    </row>
    <row r="66" spans="1:15" ht="20.25" x14ac:dyDescent="0.25">
      <c r="A66" s="10" t="e">
        <f>'Пшеница мягкая 28 сен'!#REF!</f>
        <v>#REF!</v>
      </c>
      <c r="B66" s="9" t="e">
        <f>IF('Пшеница мягкая 28 сен'!#REF!="","",'Пшеница мягкая 28 сен'!#REF!-'Пшеница мягкая 28 сен'!#REF!)</f>
        <v>#REF!</v>
      </c>
      <c r="C66" s="8" t="e">
        <f>'Пшеница мягкая 28 сен'!#REF!</f>
        <v>#REF!</v>
      </c>
      <c r="D66" s="9" t="e">
        <f>IF('Пшеница мягкая 28 сен'!#REF!="","",'Пшеница мягкая 28 сен'!#REF!-'Пшеница мягкая 28 сен'!#REF!)</f>
        <v>#REF!</v>
      </c>
      <c r="E66" s="8" t="e">
        <f>'Пшеница мягкая 28 сен'!#REF!</f>
        <v>#REF!</v>
      </c>
      <c r="F66" s="9" t="e">
        <f>IF('Пшеница мягкая 28 сен'!#REF!=0,"",'Пшеница мягкая 28 сен'!#REF!-'Пшеница мягкая 28 сен'!#REF!)</f>
        <v>#REF!</v>
      </c>
      <c r="G66" s="8" t="e">
        <f>'Пшеница мягкая 28 сен'!#REF!</f>
        <v>#REF!</v>
      </c>
      <c r="H66" s="9" t="e">
        <f>IF('Пшеница мягкая 28 сен'!#REF!=0,"",'Пшеница мягкая 28 сен'!#REF!-'Пшеница мягкая 28 сен'!#REF!)</f>
        <v>#REF!</v>
      </c>
      <c r="I66" s="8" t="e">
        <f>'Пшеница мягкая 28 сен'!#REF!</f>
        <v>#REF!</v>
      </c>
      <c r="J66" s="9" t="e">
        <f>IF('Пшеница мягкая 28 сен'!#REF!=0,"",'Пшеница мягкая 28 сен'!#REF!-'Пшеница мягкая 28 сен'!#REF!)</f>
        <v>#REF!</v>
      </c>
      <c r="K66" s="8" t="e">
        <f>'Пшеница мягкая 28 сен'!#REF!</f>
        <v>#REF!</v>
      </c>
      <c r="L66" s="9" t="e">
        <f>IF('Пшеница мягкая 28 сен'!#REF!=0,"",'Пшеница мягкая 28 сен'!#REF!-'Пшеница мягкая 28 сен'!#REF!)</f>
        <v>#REF!</v>
      </c>
      <c r="M66" s="8" t="e">
        <f>'Пшеница мягкая 28 сен'!#REF!</f>
        <v>#REF!</v>
      </c>
      <c r="N66" s="9" t="e">
        <f>IF(OR('Пшеница мягкая 28 сен'!#REF!="",'Пшеница мягкая 28 сен'!#REF!=0),"",'Пшеница мягкая 28 сен'!#REF!-'Пшеница мягкая 28 сен'!#REF!)</f>
        <v>#REF!</v>
      </c>
      <c r="O66" s="8" t="e">
        <f>'Пшеница мягкая 28 сен'!#REF!</f>
        <v>#REF!</v>
      </c>
    </row>
    <row r="67" spans="1:15" ht="20.25" x14ac:dyDescent="0.25">
      <c r="A67" s="10" t="e">
        <f>'Пшеница мягкая 28 сен'!#REF!</f>
        <v>#REF!</v>
      </c>
      <c r="B67" s="9" t="e">
        <f>IF('Пшеница мягкая 28 сен'!#REF!="","",'Пшеница мягкая 28 сен'!#REF!-'Пшеница мягкая 28 сен'!#REF!)</f>
        <v>#REF!</v>
      </c>
      <c r="C67" s="8" t="e">
        <f>'Пшеница мягкая 28 сен'!#REF!</f>
        <v>#REF!</v>
      </c>
      <c r="D67" s="9" t="e">
        <f>IF('Пшеница мягкая 28 сен'!#REF!="","",'Пшеница мягкая 28 сен'!#REF!-'Пшеница мягкая 28 сен'!#REF!)</f>
        <v>#REF!</v>
      </c>
      <c r="E67" s="8" t="e">
        <f>'Пшеница мягкая 28 сен'!#REF!</f>
        <v>#REF!</v>
      </c>
      <c r="F67" s="9" t="e">
        <f>IF('Пшеница мягкая 28 сен'!#REF!=0,"",'Пшеница мягкая 28 сен'!#REF!-'Пшеница мягкая 28 сен'!#REF!)</f>
        <v>#REF!</v>
      </c>
      <c r="G67" s="8" t="e">
        <f>'Пшеница мягкая 28 сен'!#REF!</f>
        <v>#REF!</v>
      </c>
      <c r="H67" s="9" t="e">
        <f>IF('Пшеница мягкая 28 сен'!#REF!=0,"",'Пшеница мягкая 28 сен'!#REF!-'Пшеница мягкая 28 сен'!#REF!)</f>
        <v>#REF!</v>
      </c>
      <c r="I67" s="8" t="e">
        <f>'Пшеница мягкая 28 сен'!#REF!</f>
        <v>#REF!</v>
      </c>
      <c r="J67" s="9" t="e">
        <f>IF('Пшеница мягкая 28 сен'!#REF!=0,"",'Пшеница мягкая 28 сен'!#REF!-'Пшеница мягкая 28 сен'!#REF!)</f>
        <v>#REF!</v>
      </c>
      <c r="K67" s="8" t="e">
        <f>'Пшеница мягкая 28 сен'!#REF!</f>
        <v>#REF!</v>
      </c>
      <c r="L67" s="9" t="e">
        <f>IF('Пшеница мягкая 28 сен'!#REF!=0,"",'Пшеница мягкая 28 сен'!#REF!-'Пшеница мягкая 28 сен'!#REF!)</f>
        <v>#REF!</v>
      </c>
      <c r="M67" s="8" t="e">
        <f>'Пшеница мягкая 28 сен'!#REF!</f>
        <v>#REF!</v>
      </c>
      <c r="N67" s="9" t="e">
        <f>IF(OR('Пшеница мягкая 28 сен'!#REF!="",'Пшеница мягкая 28 сен'!#REF!=0),"",'Пшеница мягкая 28 сен'!#REF!-'Пшеница мягкая 28 сен'!#REF!)</f>
        <v>#REF!</v>
      </c>
      <c r="O67" s="8" t="e">
        <f>'Пшеница мягкая 28 сен'!#REF!</f>
        <v>#REF!</v>
      </c>
    </row>
    <row r="68" spans="1:15" ht="20.25" x14ac:dyDescent="0.25">
      <c r="A68" s="10" t="e">
        <f>'Пшеница мягкая 28 сен'!#REF!</f>
        <v>#REF!</v>
      </c>
      <c r="B68" s="9" t="e">
        <f>IF('Пшеница мягкая 28 сен'!#REF!="","",'Пшеница мягкая 28 сен'!#REF!-'Пшеница мягкая 28 сен'!#REF!)</f>
        <v>#REF!</v>
      </c>
      <c r="C68" s="8" t="e">
        <f>'Пшеница мягкая 28 сен'!#REF!</f>
        <v>#REF!</v>
      </c>
      <c r="D68" s="9" t="e">
        <f>IF('Пшеница мягкая 28 сен'!#REF!="","",'Пшеница мягкая 28 сен'!#REF!-'Пшеница мягкая 28 сен'!#REF!)</f>
        <v>#REF!</v>
      </c>
      <c r="E68" s="8" t="e">
        <f>'Пшеница мягкая 28 сен'!#REF!</f>
        <v>#REF!</v>
      </c>
      <c r="F68" s="9" t="e">
        <f>IF('Пшеница мягкая 28 сен'!#REF!=0,"",'Пшеница мягкая 28 сен'!#REF!-'Пшеница мягкая 28 сен'!#REF!)</f>
        <v>#REF!</v>
      </c>
      <c r="G68" s="8" t="e">
        <f>'Пшеница мягкая 28 сен'!#REF!</f>
        <v>#REF!</v>
      </c>
      <c r="H68" s="9" t="e">
        <f>IF('Пшеница мягкая 28 сен'!#REF!=0,"",'Пшеница мягкая 28 сен'!#REF!-'Пшеница мягкая 28 сен'!#REF!)</f>
        <v>#REF!</v>
      </c>
      <c r="I68" s="8" t="e">
        <f>'Пшеница мягкая 28 сен'!#REF!</f>
        <v>#REF!</v>
      </c>
      <c r="J68" s="9" t="e">
        <f>IF('Пшеница мягкая 28 сен'!#REF!=0,"",'Пшеница мягкая 28 сен'!#REF!-'Пшеница мягкая 28 сен'!#REF!)</f>
        <v>#REF!</v>
      </c>
      <c r="K68" s="8" t="e">
        <f>'Пшеница мягкая 28 сен'!#REF!</f>
        <v>#REF!</v>
      </c>
      <c r="L68" s="9" t="e">
        <f>IF('Пшеница мягкая 28 сен'!#REF!=0,"",'Пшеница мягкая 28 сен'!#REF!-'Пшеница мягкая 28 сен'!#REF!)</f>
        <v>#REF!</v>
      </c>
      <c r="M68" s="8" t="e">
        <f>'Пшеница мягкая 28 сен'!#REF!</f>
        <v>#REF!</v>
      </c>
      <c r="N68" s="9" t="e">
        <f>IF(OR('Пшеница мягкая 28 сен'!#REF!="",'Пшеница мягкая 28 сен'!#REF!=0),"",'Пшеница мягкая 28 сен'!#REF!-'Пшеница мягкая 28 сен'!#REF!)</f>
        <v>#REF!</v>
      </c>
      <c r="O68" s="8" t="e">
        <f>'Пшеница мягкая 28 сен'!#REF!</f>
        <v>#REF!</v>
      </c>
    </row>
    <row r="69" spans="1:15" ht="20.25" x14ac:dyDescent="0.25">
      <c r="A69" s="10" t="e">
        <f>'Пшеница мягкая 28 сен'!#REF!</f>
        <v>#REF!</v>
      </c>
      <c r="B69" s="9" t="e">
        <f>IF('Пшеница мягкая 28 сен'!#REF!="","",'Пшеница мягкая 28 сен'!#REF!-'Пшеница мягкая 28 сен'!#REF!)</f>
        <v>#REF!</v>
      </c>
      <c r="C69" s="8" t="e">
        <f>'Пшеница мягкая 28 сен'!#REF!</f>
        <v>#REF!</v>
      </c>
      <c r="D69" s="9" t="e">
        <f>IF('Пшеница мягкая 28 сен'!#REF!="","",'Пшеница мягкая 28 сен'!#REF!-'Пшеница мягкая 28 сен'!#REF!)</f>
        <v>#REF!</v>
      </c>
      <c r="E69" s="8" t="e">
        <f>'Пшеница мягкая 28 сен'!#REF!</f>
        <v>#REF!</v>
      </c>
      <c r="F69" s="9" t="e">
        <f>IF('Пшеница мягкая 28 сен'!#REF!=0,"",'Пшеница мягкая 28 сен'!#REF!-'Пшеница мягкая 28 сен'!#REF!)</f>
        <v>#REF!</v>
      </c>
      <c r="G69" s="8" t="e">
        <f>'Пшеница мягкая 28 сен'!#REF!</f>
        <v>#REF!</v>
      </c>
      <c r="H69" s="9" t="e">
        <f>IF('Пшеница мягкая 28 сен'!#REF!=0,"",'Пшеница мягкая 28 сен'!#REF!-'Пшеница мягкая 28 сен'!#REF!)</f>
        <v>#REF!</v>
      </c>
      <c r="I69" s="8" t="e">
        <f>'Пшеница мягкая 28 сен'!#REF!</f>
        <v>#REF!</v>
      </c>
      <c r="J69" s="9" t="e">
        <f>IF('Пшеница мягкая 28 сен'!#REF!=0,"",'Пшеница мягкая 28 сен'!#REF!-'Пшеница мягкая 28 сен'!#REF!)</f>
        <v>#REF!</v>
      </c>
      <c r="K69" s="8" t="e">
        <f>'Пшеница мягкая 28 сен'!#REF!</f>
        <v>#REF!</v>
      </c>
      <c r="L69" s="9" t="e">
        <f>IF('Пшеница мягкая 28 сен'!#REF!=0,"",'Пшеница мягкая 28 сен'!#REF!-'Пшеница мягкая 28 сен'!#REF!)</f>
        <v>#REF!</v>
      </c>
      <c r="M69" s="8" t="e">
        <f>'Пшеница мягкая 28 сен'!#REF!</f>
        <v>#REF!</v>
      </c>
      <c r="N69" s="9" t="e">
        <f>IF(OR('Пшеница мягкая 28 сен'!#REF!="",'Пшеница мягкая 28 сен'!#REF!=0),"",'Пшеница мягкая 28 сен'!#REF!-'Пшеница мягкая 28 сен'!#REF!)</f>
        <v>#REF!</v>
      </c>
      <c r="O69" s="8" t="e">
        <f>'Пшеница мягкая 28 сен'!#REF!</f>
        <v>#REF!</v>
      </c>
    </row>
    <row r="70" spans="1:15" ht="20.25" x14ac:dyDescent="0.25">
      <c r="A70" s="10" t="e">
        <f>'Пшеница мягкая 28 сен'!#REF!</f>
        <v>#REF!</v>
      </c>
      <c r="B70" s="9" t="e">
        <f>IF('Пшеница мягкая 28 сен'!#REF!="","",'Пшеница мягкая 28 сен'!#REF!-'Пшеница мягкая 28 сен'!#REF!)</f>
        <v>#REF!</v>
      </c>
      <c r="C70" s="8" t="e">
        <f>'Пшеница мягкая 28 сен'!#REF!</f>
        <v>#REF!</v>
      </c>
      <c r="D70" s="9" t="e">
        <f>IF('Пшеница мягкая 28 сен'!#REF!="","",'Пшеница мягкая 28 сен'!#REF!-'Пшеница мягкая 28 сен'!#REF!)</f>
        <v>#REF!</v>
      </c>
      <c r="E70" s="8" t="e">
        <f>'Пшеница мягкая 28 сен'!#REF!</f>
        <v>#REF!</v>
      </c>
      <c r="F70" s="9" t="e">
        <f>IF('Пшеница мягкая 28 сен'!#REF!=0,"",'Пшеница мягкая 28 сен'!#REF!-'Пшеница мягкая 28 сен'!#REF!)</f>
        <v>#REF!</v>
      </c>
      <c r="G70" s="8" t="e">
        <f>'Пшеница мягкая 28 сен'!#REF!</f>
        <v>#REF!</v>
      </c>
      <c r="H70" s="9" t="e">
        <f>IF('Пшеница мягкая 28 сен'!#REF!=0,"",'Пшеница мягкая 28 сен'!#REF!-'Пшеница мягкая 28 сен'!#REF!)</f>
        <v>#REF!</v>
      </c>
      <c r="I70" s="8" t="e">
        <f>'Пшеница мягкая 28 сен'!#REF!</f>
        <v>#REF!</v>
      </c>
      <c r="J70" s="9" t="e">
        <f>IF('Пшеница мягкая 28 сен'!#REF!=0,"",'Пшеница мягкая 28 сен'!#REF!-'Пшеница мягкая 28 сен'!#REF!)</f>
        <v>#REF!</v>
      </c>
      <c r="K70" s="8" t="e">
        <f>'Пшеница мягкая 28 сен'!#REF!</f>
        <v>#REF!</v>
      </c>
      <c r="L70" s="9" t="e">
        <f>IF('Пшеница мягкая 28 сен'!#REF!=0,"",'Пшеница мягкая 28 сен'!#REF!-'Пшеница мягкая 28 сен'!#REF!)</f>
        <v>#REF!</v>
      </c>
      <c r="M70" s="8" t="e">
        <f>'Пшеница мягкая 28 сен'!#REF!</f>
        <v>#REF!</v>
      </c>
      <c r="N70" s="9" t="e">
        <f>IF(OR('Пшеница мягкая 28 сен'!#REF!="",'Пшеница мягкая 28 сен'!#REF!=0),"",'Пшеница мягкая 28 сен'!#REF!-'Пшеница мягкая 28 сен'!#REF!)</f>
        <v>#REF!</v>
      </c>
      <c r="O70" s="8" t="e">
        <f>'Пшеница мягкая 28 сен'!#REF!</f>
        <v>#REF!</v>
      </c>
    </row>
    <row r="71" spans="1:15" ht="20.25" x14ac:dyDescent="0.25">
      <c r="A71" s="10" t="e">
        <f>'Пшеница мягкая 28 сен'!#REF!</f>
        <v>#REF!</v>
      </c>
      <c r="B71" s="9" t="e">
        <f>IF('Пшеница мягкая 28 сен'!#REF!="","",'Пшеница мягкая 28 сен'!#REF!-'Пшеница мягкая 28 сен'!#REF!)</f>
        <v>#REF!</v>
      </c>
      <c r="C71" s="8" t="e">
        <f>'Пшеница мягкая 28 сен'!#REF!</f>
        <v>#REF!</v>
      </c>
      <c r="D71" s="9" t="e">
        <f>IF('Пшеница мягкая 28 сен'!#REF!="","",'Пшеница мягкая 28 сен'!#REF!-'Пшеница мягкая 28 сен'!#REF!)</f>
        <v>#REF!</v>
      </c>
      <c r="E71" s="8" t="e">
        <f>'Пшеница мягкая 28 сен'!#REF!</f>
        <v>#REF!</v>
      </c>
      <c r="F71" s="9" t="e">
        <f>IF('Пшеница мягкая 28 сен'!#REF!=0,"",'Пшеница мягкая 28 сен'!#REF!-'Пшеница мягкая 28 сен'!#REF!)</f>
        <v>#REF!</v>
      </c>
      <c r="G71" s="8" t="e">
        <f>'Пшеница мягкая 28 сен'!#REF!</f>
        <v>#REF!</v>
      </c>
      <c r="H71" s="9" t="e">
        <f>IF('Пшеница мягкая 28 сен'!#REF!=0,"",'Пшеница мягкая 28 сен'!#REF!-'Пшеница мягкая 28 сен'!#REF!)</f>
        <v>#REF!</v>
      </c>
      <c r="I71" s="8" t="e">
        <f>'Пшеница мягкая 28 сен'!#REF!</f>
        <v>#REF!</v>
      </c>
      <c r="J71" s="9" t="e">
        <f>IF('Пшеница мягкая 28 сен'!#REF!=0,"",'Пшеница мягкая 28 сен'!#REF!-'Пшеница мягкая 28 сен'!#REF!)</f>
        <v>#REF!</v>
      </c>
      <c r="K71" s="8" t="e">
        <f>'Пшеница мягкая 28 сен'!#REF!</f>
        <v>#REF!</v>
      </c>
      <c r="L71" s="9" t="e">
        <f>IF('Пшеница мягкая 28 сен'!#REF!=0,"",'Пшеница мягкая 28 сен'!#REF!-'Пшеница мягкая 28 сен'!#REF!)</f>
        <v>#REF!</v>
      </c>
      <c r="M71" s="8" t="e">
        <f>'Пшеница мягкая 28 сен'!#REF!</f>
        <v>#REF!</v>
      </c>
      <c r="N71" s="9" t="e">
        <f>IF(OR('Пшеница мягкая 28 сен'!#REF!="",'Пшеница мягкая 28 сен'!#REF!=0),"",'Пшеница мягкая 28 сен'!#REF!-'Пшеница мягкая 28 сен'!#REF!)</f>
        <v>#REF!</v>
      </c>
      <c r="O71" s="8" t="e">
        <f>'Пшеница мягкая 28 сен'!#REF!</f>
        <v>#REF!</v>
      </c>
    </row>
    <row r="72" spans="1:15" ht="20.25" x14ac:dyDescent="0.25">
      <c r="A72" s="10" t="e">
        <f>'Пшеница мягкая 28 сен'!#REF!</f>
        <v>#REF!</v>
      </c>
      <c r="B72" s="9" t="e">
        <f>IF('Пшеница мягкая 28 сен'!#REF!="","",'Пшеница мягкая 28 сен'!#REF!-'Пшеница мягкая 28 сен'!#REF!)</f>
        <v>#REF!</v>
      </c>
      <c r="C72" s="8" t="e">
        <f>'Пшеница мягкая 28 сен'!#REF!</f>
        <v>#REF!</v>
      </c>
      <c r="D72" s="9" t="e">
        <f>IF('Пшеница мягкая 28 сен'!#REF!="","",'Пшеница мягкая 28 сен'!#REF!-'Пшеница мягкая 28 сен'!#REF!)</f>
        <v>#REF!</v>
      </c>
      <c r="E72" s="8" t="e">
        <f>'Пшеница мягкая 28 сен'!#REF!</f>
        <v>#REF!</v>
      </c>
      <c r="F72" s="9" t="e">
        <f>IF('Пшеница мягкая 28 сен'!#REF!=0,"",'Пшеница мягкая 28 сен'!#REF!-'Пшеница мягкая 28 сен'!#REF!)</f>
        <v>#REF!</v>
      </c>
      <c r="G72" s="8" t="e">
        <f>'Пшеница мягкая 28 сен'!#REF!</f>
        <v>#REF!</v>
      </c>
      <c r="H72" s="9" t="e">
        <f>IF('Пшеница мягкая 28 сен'!#REF!=0,"",'Пшеница мягкая 28 сен'!#REF!-'Пшеница мягкая 28 сен'!#REF!)</f>
        <v>#REF!</v>
      </c>
      <c r="I72" s="8" t="e">
        <f>'Пшеница мягкая 28 сен'!#REF!</f>
        <v>#REF!</v>
      </c>
      <c r="J72" s="9" t="e">
        <f>IF('Пшеница мягкая 28 сен'!#REF!=0,"",'Пшеница мягкая 28 сен'!#REF!-'Пшеница мягкая 28 сен'!#REF!)</f>
        <v>#REF!</v>
      </c>
      <c r="K72" s="8" t="e">
        <f>'Пшеница мягкая 28 сен'!#REF!</f>
        <v>#REF!</v>
      </c>
      <c r="L72" s="9" t="e">
        <f>IF('Пшеница мягкая 28 сен'!#REF!=0,"",'Пшеница мягкая 28 сен'!#REF!-'Пшеница мягкая 28 сен'!#REF!)</f>
        <v>#REF!</v>
      </c>
      <c r="M72" s="8" t="e">
        <f>'Пшеница мягкая 28 сен'!#REF!</f>
        <v>#REF!</v>
      </c>
      <c r="N72" s="9" t="e">
        <f>IF(OR('Пшеница мягкая 28 сен'!#REF!="",'Пшеница мягкая 28 сен'!#REF!=0),"",'Пшеница мягкая 28 сен'!#REF!-'Пшеница мягкая 28 сен'!#REF!)</f>
        <v>#REF!</v>
      </c>
      <c r="O72" s="8" t="e">
        <f>'Пшеница мягкая 28 сен'!#REF!</f>
        <v>#REF!</v>
      </c>
    </row>
    <row r="73" spans="1:15" ht="20.25" x14ac:dyDescent="0.25">
      <c r="A73" s="10" t="e">
        <f>'Пшеница мягкая 28 сен'!#REF!</f>
        <v>#REF!</v>
      </c>
      <c r="B73" s="9" t="e">
        <f>IF('Пшеница мягкая 28 сен'!#REF!="","",'Пшеница мягкая 28 сен'!#REF!-'Пшеница мягкая 28 сен'!#REF!)</f>
        <v>#REF!</v>
      </c>
      <c r="C73" s="8" t="e">
        <f>'Пшеница мягкая 28 сен'!#REF!</f>
        <v>#REF!</v>
      </c>
      <c r="D73" s="9" t="e">
        <f>IF('Пшеница мягкая 28 сен'!#REF!="","",'Пшеница мягкая 28 сен'!#REF!-'Пшеница мягкая 28 сен'!#REF!)</f>
        <v>#REF!</v>
      </c>
      <c r="E73" s="8" t="e">
        <f>'Пшеница мягкая 28 сен'!#REF!</f>
        <v>#REF!</v>
      </c>
      <c r="F73" s="9" t="e">
        <f>IF('Пшеница мягкая 28 сен'!#REF!=0,"",'Пшеница мягкая 28 сен'!#REF!-'Пшеница мягкая 28 сен'!#REF!)</f>
        <v>#REF!</v>
      </c>
      <c r="G73" s="8" t="e">
        <f>'Пшеница мягкая 28 сен'!#REF!</f>
        <v>#REF!</v>
      </c>
      <c r="H73" s="9" t="e">
        <f>IF('Пшеница мягкая 28 сен'!#REF!=0,"",'Пшеница мягкая 28 сен'!#REF!-'Пшеница мягкая 28 сен'!#REF!)</f>
        <v>#REF!</v>
      </c>
      <c r="I73" s="8" t="e">
        <f>'Пшеница мягкая 28 сен'!#REF!</f>
        <v>#REF!</v>
      </c>
      <c r="J73" s="9" t="e">
        <f>IF('Пшеница мягкая 28 сен'!#REF!=0,"",'Пшеница мягкая 28 сен'!#REF!-'Пшеница мягкая 28 сен'!#REF!)</f>
        <v>#REF!</v>
      </c>
      <c r="K73" s="8" t="e">
        <f>'Пшеница мягкая 28 сен'!#REF!</f>
        <v>#REF!</v>
      </c>
      <c r="L73" s="9" t="e">
        <f>IF('Пшеница мягкая 28 сен'!#REF!=0,"",'Пшеница мягкая 28 сен'!#REF!-'Пшеница мягкая 28 сен'!#REF!)</f>
        <v>#REF!</v>
      </c>
      <c r="M73" s="8" t="e">
        <f>'Пшеница мягкая 28 сен'!#REF!</f>
        <v>#REF!</v>
      </c>
      <c r="N73" s="9" t="e">
        <f>IF(OR('Пшеница мягкая 28 сен'!#REF!="",'Пшеница мягкая 28 сен'!#REF!=0),"",'Пшеница мягкая 28 сен'!#REF!-'Пшеница мягкая 28 сен'!#REF!)</f>
        <v>#REF!</v>
      </c>
      <c r="O73" s="8" t="e">
        <f>'Пшеница мягкая 28 сен'!#REF!</f>
        <v>#REF!</v>
      </c>
    </row>
    <row r="74" spans="1:15" ht="20.25" x14ac:dyDescent="0.25">
      <c r="A74" s="10" t="e">
        <f>'Пшеница мягкая 28 сен'!#REF!</f>
        <v>#REF!</v>
      </c>
      <c r="B74" s="9" t="e">
        <f>IF('Пшеница мягкая 28 сен'!#REF!="","",'Пшеница мягкая 28 сен'!#REF!-'Пшеница мягкая 28 сен'!#REF!)</f>
        <v>#REF!</v>
      </c>
      <c r="C74" s="8" t="e">
        <f>'Пшеница мягкая 28 сен'!#REF!</f>
        <v>#REF!</v>
      </c>
      <c r="D74" s="9" t="e">
        <f>IF('Пшеница мягкая 28 сен'!#REF!="","",'Пшеница мягкая 28 сен'!#REF!-'Пшеница мягкая 28 сен'!#REF!)</f>
        <v>#REF!</v>
      </c>
      <c r="E74" s="8" t="e">
        <f>'Пшеница мягкая 28 сен'!#REF!</f>
        <v>#REF!</v>
      </c>
      <c r="F74" s="9" t="e">
        <f>IF('Пшеница мягкая 28 сен'!#REF!=0,"",'Пшеница мягкая 28 сен'!#REF!-'Пшеница мягкая 28 сен'!#REF!)</f>
        <v>#REF!</v>
      </c>
      <c r="G74" s="8" t="e">
        <f>'Пшеница мягкая 28 сен'!#REF!</f>
        <v>#REF!</v>
      </c>
      <c r="H74" s="9" t="e">
        <f>IF('Пшеница мягкая 28 сен'!#REF!=0,"",'Пшеница мягкая 28 сен'!#REF!-'Пшеница мягкая 28 сен'!#REF!)</f>
        <v>#REF!</v>
      </c>
      <c r="I74" s="8" t="e">
        <f>'Пшеница мягкая 28 сен'!#REF!</f>
        <v>#REF!</v>
      </c>
      <c r="J74" s="9" t="e">
        <f>IF('Пшеница мягкая 28 сен'!#REF!=0,"",'Пшеница мягкая 28 сен'!#REF!-'Пшеница мягкая 28 сен'!#REF!)</f>
        <v>#REF!</v>
      </c>
      <c r="K74" s="8" t="e">
        <f>'Пшеница мягкая 28 сен'!#REF!</f>
        <v>#REF!</v>
      </c>
      <c r="L74" s="9" t="e">
        <f>IF('Пшеница мягкая 28 сен'!#REF!=0,"",'Пшеница мягкая 28 сен'!#REF!-'Пшеница мягкая 28 сен'!#REF!)</f>
        <v>#REF!</v>
      </c>
      <c r="M74" s="8" t="e">
        <f>'Пшеница мягкая 28 сен'!#REF!</f>
        <v>#REF!</v>
      </c>
      <c r="N74" s="9" t="e">
        <f>IF(OR('Пшеница мягкая 28 сен'!#REF!="",'Пшеница мягкая 28 сен'!#REF!=0),"",'Пшеница мягкая 28 сен'!#REF!-'Пшеница мягкая 28 сен'!#REF!)</f>
        <v>#REF!</v>
      </c>
      <c r="O74" s="8" t="e">
        <f>'Пшеница мягкая 28 сен'!#REF!</f>
        <v>#REF!</v>
      </c>
    </row>
    <row r="75" spans="1:15" ht="20.25" x14ac:dyDescent="0.25">
      <c r="A75" s="10" t="e">
        <f>'Пшеница мягкая 28 сен'!#REF!</f>
        <v>#REF!</v>
      </c>
      <c r="B75" s="9" t="e">
        <f>IF('Пшеница мягкая 28 сен'!#REF!="","",'Пшеница мягкая 28 сен'!#REF!-'Пшеница мягкая 28 сен'!#REF!)</f>
        <v>#REF!</v>
      </c>
      <c r="C75" s="8" t="e">
        <f>'Пшеница мягкая 28 сен'!#REF!</f>
        <v>#REF!</v>
      </c>
      <c r="D75" s="9" t="e">
        <f>IF('Пшеница мягкая 28 сен'!#REF!="","",'Пшеница мягкая 28 сен'!#REF!-'Пшеница мягкая 28 сен'!#REF!)</f>
        <v>#REF!</v>
      </c>
      <c r="E75" s="8" t="e">
        <f>'Пшеница мягкая 28 сен'!#REF!</f>
        <v>#REF!</v>
      </c>
      <c r="F75" s="9" t="e">
        <f>IF('Пшеница мягкая 28 сен'!#REF!=0,"",'Пшеница мягкая 28 сен'!#REF!-'Пшеница мягкая 28 сен'!#REF!)</f>
        <v>#REF!</v>
      </c>
      <c r="G75" s="8" t="e">
        <f>'Пшеница мягкая 28 сен'!#REF!</f>
        <v>#REF!</v>
      </c>
      <c r="H75" s="9" t="e">
        <f>IF('Пшеница мягкая 28 сен'!#REF!=0,"",'Пшеница мягкая 28 сен'!#REF!-'Пшеница мягкая 28 сен'!#REF!)</f>
        <v>#REF!</v>
      </c>
      <c r="I75" s="8" t="e">
        <f>'Пшеница мягкая 28 сен'!#REF!</f>
        <v>#REF!</v>
      </c>
      <c r="J75" s="9" t="e">
        <f>IF('Пшеница мягкая 28 сен'!#REF!=0,"",'Пшеница мягкая 28 сен'!#REF!-'Пшеница мягкая 28 сен'!#REF!)</f>
        <v>#REF!</v>
      </c>
      <c r="K75" s="8" t="e">
        <f>'Пшеница мягкая 28 сен'!#REF!</f>
        <v>#REF!</v>
      </c>
      <c r="L75" s="9" t="e">
        <f>IF('Пшеница мягкая 28 сен'!#REF!=0,"",'Пшеница мягкая 28 сен'!#REF!-'Пшеница мягкая 28 сен'!#REF!)</f>
        <v>#REF!</v>
      </c>
      <c r="M75" s="8" t="e">
        <f>'Пшеница мягкая 28 сен'!#REF!</f>
        <v>#REF!</v>
      </c>
      <c r="N75" s="9" t="e">
        <f>IF(OR('Пшеница мягкая 28 сен'!#REF!="",'Пшеница мягкая 28 сен'!#REF!=0),"",'Пшеница мягкая 28 сен'!#REF!-'Пшеница мягкая 28 сен'!#REF!)</f>
        <v>#REF!</v>
      </c>
      <c r="O75" s="8" t="e">
        <f>'Пшеница мягкая 28 сен'!#REF!</f>
        <v>#REF!</v>
      </c>
    </row>
    <row r="76" spans="1:15" ht="20.25" x14ac:dyDescent="0.25">
      <c r="A76" s="10" t="e">
        <f>'Пшеница мягкая 28 сен'!#REF!</f>
        <v>#REF!</v>
      </c>
      <c r="B76" s="9" t="e">
        <f>IF('Пшеница мягкая 28 сен'!#REF!="","",'Пшеница мягкая 28 сен'!#REF!-'Пшеница мягкая 28 сен'!#REF!)</f>
        <v>#REF!</v>
      </c>
      <c r="C76" s="8" t="e">
        <f>'Пшеница мягкая 28 сен'!#REF!</f>
        <v>#REF!</v>
      </c>
      <c r="D76" s="9" t="e">
        <f>IF('Пшеница мягкая 28 сен'!#REF!="","",'Пшеница мягкая 28 сен'!#REF!-'Пшеница мягкая 28 сен'!#REF!)</f>
        <v>#REF!</v>
      </c>
      <c r="E76" s="8" t="e">
        <f>'Пшеница мягкая 28 сен'!#REF!</f>
        <v>#REF!</v>
      </c>
      <c r="F76" s="9" t="e">
        <f>IF('Пшеница мягкая 28 сен'!#REF!=0,"",'Пшеница мягкая 28 сен'!#REF!-'Пшеница мягкая 28 сен'!#REF!)</f>
        <v>#REF!</v>
      </c>
      <c r="G76" s="8" t="e">
        <f>'Пшеница мягкая 28 сен'!#REF!</f>
        <v>#REF!</v>
      </c>
      <c r="H76" s="9" t="e">
        <f>IF('Пшеница мягкая 28 сен'!#REF!=0,"",'Пшеница мягкая 28 сен'!#REF!-'Пшеница мягкая 28 сен'!#REF!)</f>
        <v>#REF!</v>
      </c>
      <c r="I76" s="8" t="e">
        <f>'Пшеница мягкая 28 сен'!#REF!</f>
        <v>#REF!</v>
      </c>
      <c r="J76" s="9" t="e">
        <f>IF('Пшеница мягкая 28 сен'!#REF!=0,"",'Пшеница мягкая 28 сен'!#REF!-'Пшеница мягкая 28 сен'!#REF!)</f>
        <v>#REF!</v>
      </c>
      <c r="K76" s="8" t="e">
        <f>'Пшеница мягкая 28 сен'!#REF!</f>
        <v>#REF!</v>
      </c>
      <c r="L76" s="9" t="e">
        <f>IF('Пшеница мягкая 28 сен'!#REF!=0,"",'Пшеница мягкая 28 сен'!#REF!-'Пшеница мягкая 28 сен'!#REF!)</f>
        <v>#REF!</v>
      </c>
      <c r="M76" s="8" t="e">
        <f>'Пшеница мягкая 28 сен'!#REF!</f>
        <v>#REF!</v>
      </c>
      <c r="N76" s="9" t="e">
        <f>IF(OR('Пшеница мягкая 28 сен'!#REF!="",'Пшеница мягкая 28 сен'!#REF!=0),"",'Пшеница мягкая 28 сен'!#REF!-'Пшеница мягкая 28 сен'!#REF!)</f>
        <v>#REF!</v>
      </c>
      <c r="O76" s="8" t="e">
        <f>'Пшеница мягкая 28 сен'!#REF!</f>
        <v>#REF!</v>
      </c>
    </row>
    <row r="77" spans="1:15" ht="20.25" x14ac:dyDescent="0.25">
      <c r="A77" s="10" t="e">
        <f>'Пшеница мягкая 28 сен'!#REF!</f>
        <v>#REF!</v>
      </c>
      <c r="B77" s="9" t="e">
        <f>IF('Пшеница мягкая 28 сен'!#REF!="","",'Пшеница мягкая 28 сен'!#REF!-'Пшеница мягкая 28 сен'!#REF!)</f>
        <v>#REF!</v>
      </c>
      <c r="C77" s="8" t="e">
        <f>'Пшеница мягкая 28 сен'!#REF!</f>
        <v>#REF!</v>
      </c>
      <c r="D77" s="9" t="e">
        <f>IF('Пшеница мягкая 28 сен'!#REF!="","",'Пшеница мягкая 28 сен'!#REF!-'Пшеница мягкая 28 сен'!#REF!)</f>
        <v>#REF!</v>
      </c>
      <c r="E77" s="8" t="e">
        <f>'Пшеница мягкая 28 сен'!#REF!</f>
        <v>#REF!</v>
      </c>
      <c r="F77" s="9" t="e">
        <f>IF('Пшеница мягкая 28 сен'!#REF!=0,"",'Пшеница мягкая 28 сен'!#REF!-'Пшеница мягкая 28 сен'!#REF!)</f>
        <v>#REF!</v>
      </c>
      <c r="G77" s="8" t="e">
        <f>'Пшеница мягкая 28 сен'!#REF!</f>
        <v>#REF!</v>
      </c>
      <c r="H77" s="9" t="e">
        <f>IF('Пшеница мягкая 28 сен'!#REF!=0,"",'Пшеница мягкая 28 сен'!#REF!-'Пшеница мягкая 28 сен'!#REF!)</f>
        <v>#REF!</v>
      </c>
      <c r="I77" s="8" t="e">
        <f>'Пшеница мягкая 28 сен'!#REF!</f>
        <v>#REF!</v>
      </c>
      <c r="J77" s="9" t="e">
        <f>IF('Пшеница мягкая 28 сен'!#REF!=0,"",'Пшеница мягкая 28 сен'!#REF!-'Пшеница мягкая 28 сен'!#REF!)</f>
        <v>#REF!</v>
      </c>
      <c r="K77" s="8" t="e">
        <f>'Пшеница мягкая 28 сен'!#REF!</f>
        <v>#REF!</v>
      </c>
      <c r="L77" s="9" t="e">
        <f>IF('Пшеница мягкая 28 сен'!#REF!=0,"",'Пшеница мягкая 28 сен'!#REF!-'Пшеница мягкая 28 сен'!#REF!)</f>
        <v>#REF!</v>
      </c>
      <c r="M77" s="8" t="e">
        <f>'Пшеница мягкая 28 сен'!#REF!</f>
        <v>#REF!</v>
      </c>
      <c r="N77" s="9" t="e">
        <f>IF(OR('Пшеница мягкая 28 сен'!#REF!="",'Пшеница мягкая 28 сен'!#REF!=0),"",'Пшеница мягкая 28 сен'!#REF!-'Пшеница мягкая 28 сен'!#REF!)</f>
        <v>#REF!</v>
      </c>
      <c r="O77" s="8" t="e">
        <f>'Пшеница мягкая 28 сен'!#REF!</f>
        <v>#REF!</v>
      </c>
    </row>
    <row r="78" spans="1:15" ht="20.25" x14ac:dyDescent="0.25">
      <c r="A78" s="10" t="e">
        <f>'Пшеница мягкая 28 сен'!#REF!</f>
        <v>#REF!</v>
      </c>
      <c r="B78" s="9" t="e">
        <f>IF('Пшеница мягкая 28 сен'!#REF!="","",'Пшеница мягкая 28 сен'!#REF!-'Пшеница мягкая 28 сен'!#REF!)</f>
        <v>#REF!</v>
      </c>
      <c r="C78" s="8" t="e">
        <f>'Пшеница мягкая 28 сен'!#REF!</f>
        <v>#REF!</v>
      </c>
      <c r="D78" s="9" t="e">
        <f>IF('Пшеница мягкая 28 сен'!#REF!="","",'Пшеница мягкая 28 сен'!#REF!-'Пшеница мягкая 28 сен'!#REF!)</f>
        <v>#REF!</v>
      </c>
      <c r="E78" s="8" t="e">
        <f>'Пшеница мягкая 28 сен'!#REF!</f>
        <v>#REF!</v>
      </c>
      <c r="F78" s="9" t="e">
        <f>IF('Пшеница мягкая 28 сен'!#REF!=0,"",'Пшеница мягкая 28 сен'!#REF!-'Пшеница мягкая 28 сен'!#REF!)</f>
        <v>#REF!</v>
      </c>
      <c r="G78" s="8" t="e">
        <f>'Пшеница мягкая 28 сен'!#REF!</f>
        <v>#REF!</v>
      </c>
      <c r="H78" s="9" t="e">
        <f>IF('Пшеница мягкая 28 сен'!#REF!=0,"",'Пшеница мягкая 28 сен'!#REF!-'Пшеница мягкая 28 сен'!#REF!)</f>
        <v>#REF!</v>
      </c>
      <c r="I78" s="8" t="e">
        <f>'Пшеница мягкая 28 сен'!#REF!</f>
        <v>#REF!</v>
      </c>
      <c r="J78" s="9" t="e">
        <f>IF('Пшеница мягкая 28 сен'!#REF!=0,"",'Пшеница мягкая 28 сен'!#REF!-'Пшеница мягкая 28 сен'!#REF!)</f>
        <v>#REF!</v>
      </c>
      <c r="K78" s="8" t="e">
        <f>'Пшеница мягкая 28 сен'!#REF!</f>
        <v>#REF!</v>
      </c>
      <c r="L78" s="9" t="e">
        <f>IF('Пшеница мягкая 28 сен'!#REF!=0,"",'Пшеница мягкая 28 сен'!#REF!-'Пшеница мягкая 28 сен'!#REF!)</f>
        <v>#REF!</v>
      </c>
      <c r="M78" s="8" t="e">
        <f>'Пшеница мягкая 28 сен'!#REF!</f>
        <v>#REF!</v>
      </c>
      <c r="N78" s="9" t="e">
        <f>IF(OR('Пшеница мягкая 28 сен'!#REF!="",'Пшеница мягкая 28 сен'!#REF!=0),"",'Пшеница мягкая 28 сен'!#REF!-'Пшеница мягкая 28 сен'!#REF!)</f>
        <v>#REF!</v>
      </c>
      <c r="O78" s="8" t="e">
        <f>'Пшеница мягкая 28 сен'!#REF!</f>
        <v>#REF!</v>
      </c>
    </row>
    <row r="79" spans="1:15" ht="20.25" x14ac:dyDescent="0.25">
      <c r="A79" s="10" t="e">
        <f>'Пшеница мягкая 28 сен'!#REF!</f>
        <v>#REF!</v>
      </c>
      <c r="B79" s="9" t="e">
        <f>IF('Пшеница мягкая 28 сен'!#REF!="","",'Пшеница мягкая 28 сен'!#REF!-'Пшеница мягкая 28 сен'!#REF!)</f>
        <v>#REF!</v>
      </c>
      <c r="C79" s="8" t="e">
        <f>'Пшеница мягкая 28 сен'!#REF!</f>
        <v>#REF!</v>
      </c>
      <c r="D79" s="9" t="e">
        <f>IF('Пшеница мягкая 28 сен'!#REF!="","",'Пшеница мягкая 28 сен'!#REF!-'Пшеница мягкая 28 сен'!#REF!)</f>
        <v>#REF!</v>
      </c>
      <c r="E79" s="8" t="e">
        <f>'Пшеница мягкая 28 сен'!#REF!</f>
        <v>#REF!</v>
      </c>
      <c r="F79" s="9" t="e">
        <f>IF('Пшеница мягкая 28 сен'!#REF!=0,"",'Пшеница мягкая 28 сен'!#REF!-'Пшеница мягкая 28 сен'!#REF!)</f>
        <v>#REF!</v>
      </c>
      <c r="G79" s="8" t="e">
        <f>'Пшеница мягкая 28 сен'!#REF!</f>
        <v>#REF!</v>
      </c>
      <c r="H79" s="9" t="e">
        <f>IF('Пшеница мягкая 28 сен'!#REF!=0,"",'Пшеница мягкая 28 сен'!#REF!-'Пшеница мягкая 28 сен'!#REF!)</f>
        <v>#REF!</v>
      </c>
      <c r="I79" s="8" t="e">
        <f>'Пшеница мягкая 28 сен'!#REF!</f>
        <v>#REF!</v>
      </c>
      <c r="J79" s="9" t="e">
        <f>IF('Пшеница мягкая 28 сен'!#REF!=0,"",'Пшеница мягкая 28 сен'!#REF!-'Пшеница мягкая 28 сен'!#REF!)</f>
        <v>#REF!</v>
      </c>
      <c r="K79" s="8" t="e">
        <f>'Пшеница мягкая 28 сен'!#REF!</f>
        <v>#REF!</v>
      </c>
      <c r="L79" s="9" t="e">
        <f>IF('Пшеница мягкая 28 сен'!#REF!=0,"",'Пшеница мягкая 28 сен'!#REF!-'Пшеница мягкая 28 сен'!#REF!)</f>
        <v>#REF!</v>
      </c>
      <c r="M79" s="8" t="e">
        <f>'Пшеница мягкая 28 сен'!#REF!</f>
        <v>#REF!</v>
      </c>
      <c r="N79" s="9" t="e">
        <f>IF(OR('Пшеница мягкая 28 сен'!#REF!="",'Пшеница мягкая 28 сен'!#REF!=0),"",'Пшеница мягкая 28 сен'!#REF!-'Пшеница мягкая 28 сен'!#REF!)</f>
        <v>#REF!</v>
      </c>
      <c r="O79" s="8" t="e">
        <f>'Пшеница мягкая 28 сен'!#REF!</f>
        <v>#REF!</v>
      </c>
    </row>
    <row r="80" spans="1:15" ht="20.25" x14ac:dyDescent="0.25">
      <c r="A80" s="10" t="e">
        <f>'Пшеница мягкая 28 сен'!#REF!</f>
        <v>#REF!</v>
      </c>
      <c r="B80" s="9" t="e">
        <f>IF('Пшеница мягкая 28 сен'!#REF!="","",'Пшеница мягкая 28 сен'!#REF!-'Пшеница мягкая 28 сен'!#REF!)</f>
        <v>#REF!</v>
      </c>
      <c r="C80" s="8" t="e">
        <f>'Пшеница мягкая 28 сен'!#REF!</f>
        <v>#REF!</v>
      </c>
      <c r="D80" s="9" t="e">
        <f>IF('Пшеница мягкая 28 сен'!#REF!="","",'Пшеница мягкая 28 сен'!#REF!-'Пшеница мягкая 28 сен'!#REF!)</f>
        <v>#REF!</v>
      </c>
      <c r="E80" s="8" t="e">
        <f>'Пшеница мягкая 28 сен'!#REF!</f>
        <v>#REF!</v>
      </c>
      <c r="F80" s="9" t="e">
        <f>IF('Пшеница мягкая 28 сен'!#REF!=0,"",'Пшеница мягкая 28 сен'!#REF!-'Пшеница мягкая 28 сен'!#REF!)</f>
        <v>#REF!</v>
      </c>
      <c r="G80" s="8" t="e">
        <f>'Пшеница мягкая 28 сен'!#REF!</f>
        <v>#REF!</v>
      </c>
      <c r="H80" s="9" t="e">
        <f>IF('Пшеница мягкая 28 сен'!#REF!=0,"",'Пшеница мягкая 28 сен'!#REF!-'Пшеница мягкая 28 сен'!#REF!)</f>
        <v>#REF!</v>
      </c>
      <c r="I80" s="8" t="e">
        <f>'Пшеница мягкая 28 сен'!#REF!</f>
        <v>#REF!</v>
      </c>
      <c r="J80" s="9" t="e">
        <f>IF('Пшеница мягкая 28 сен'!#REF!=0,"",'Пшеница мягкая 28 сен'!#REF!-'Пшеница мягкая 28 сен'!#REF!)</f>
        <v>#REF!</v>
      </c>
      <c r="K80" s="8" t="e">
        <f>'Пшеница мягкая 28 сен'!#REF!</f>
        <v>#REF!</v>
      </c>
      <c r="L80" s="9" t="e">
        <f>IF('Пшеница мягкая 28 сен'!#REF!=0,"",'Пшеница мягкая 28 сен'!#REF!-'Пшеница мягкая 28 сен'!#REF!)</f>
        <v>#REF!</v>
      </c>
      <c r="M80" s="8" t="e">
        <f>'Пшеница мягкая 28 сен'!#REF!</f>
        <v>#REF!</v>
      </c>
      <c r="N80" s="9" t="e">
        <f>IF(OR('Пшеница мягкая 28 сен'!#REF!="",'Пшеница мягкая 28 сен'!#REF!=0),"",'Пшеница мягкая 28 сен'!#REF!-'Пшеница мягкая 28 сен'!#REF!)</f>
        <v>#REF!</v>
      </c>
      <c r="O80" s="8" t="e">
        <f>'Пшеница мягкая 28 сен'!#REF!</f>
        <v>#REF!</v>
      </c>
    </row>
    <row r="81" spans="1:15" ht="20.25" x14ac:dyDescent="0.25">
      <c r="A81" s="10" t="e">
        <f>'Пшеница мягкая 28 сен'!#REF!</f>
        <v>#REF!</v>
      </c>
      <c r="B81" s="9" t="e">
        <f>IF('Пшеница мягкая 28 сен'!#REF!="","",'Пшеница мягкая 28 сен'!#REF!-'Пшеница мягкая 28 сен'!#REF!)</f>
        <v>#REF!</v>
      </c>
      <c r="C81" s="8" t="e">
        <f>'Пшеница мягкая 28 сен'!#REF!</f>
        <v>#REF!</v>
      </c>
      <c r="D81" s="9" t="e">
        <f>IF('Пшеница мягкая 28 сен'!#REF!="","",'Пшеница мягкая 28 сен'!#REF!-'Пшеница мягкая 28 сен'!#REF!)</f>
        <v>#REF!</v>
      </c>
      <c r="E81" s="8" t="e">
        <f>'Пшеница мягкая 28 сен'!#REF!</f>
        <v>#REF!</v>
      </c>
      <c r="F81" s="9" t="e">
        <f>IF('Пшеница мягкая 28 сен'!#REF!=0,"",'Пшеница мягкая 28 сен'!#REF!-'Пшеница мягкая 28 сен'!#REF!)</f>
        <v>#REF!</v>
      </c>
      <c r="G81" s="8" t="e">
        <f>'Пшеница мягкая 28 сен'!#REF!</f>
        <v>#REF!</v>
      </c>
      <c r="H81" s="9" t="e">
        <f>IF('Пшеница мягкая 28 сен'!#REF!=0,"",'Пшеница мягкая 28 сен'!#REF!-'Пшеница мягкая 28 сен'!#REF!)</f>
        <v>#REF!</v>
      </c>
      <c r="I81" s="8" t="e">
        <f>'Пшеница мягкая 28 сен'!#REF!</f>
        <v>#REF!</v>
      </c>
      <c r="J81" s="9" t="e">
        <f>IF('Пшеница мягкая 28 сен'!#REF!=0,"",'Пшеница мягкая 28 сен'!#REF!-'Пшеница мягкая 28 сен'!#REF!)</f>
        <v>#REF!</v>
      </c>
      <c r="K81" s="8" t="e">
        <f>'Пшеница мягкая 28 сен'!#REF!</f>
        <v>#REF!</v>
      </c>
      <c r="L81" s="9" t="e">
        <f>IF('Пшеница мягкая 28 сен'!#REF!=0,"",'Пшеница мягкая 28 сен'!#REF!-'Пшеница мягкая 28 сен'!#REF!)</f>
        <v>#REF!</v>
      </c>
      <c r="M81" s="8" t="e">
        <f>'Пшеница мягкая 28 сен'!#REF!</f>
        <v>#REF!</v>
      </c>
      <c r="N81" s="9" t="e">
        <f>IF(OR('Пшеница мягкая 28 сен'!#REF!="",'Пшеница мягкая 28 сен'!#REF!=0),"",'Пшеница мягкая 28 сен'!#REF!-'Пшеница мягкая 28 сен'!#REF!)</f>
        <v>#REF!</v>
      </c>
      <c r="O81" s="8" t="e">
        <f>'Пшеница мягкая 28 сен'!#REF!</f>
        <v>#REF!</v>
      </c>
    </row>
    <row r="82" spans="1:15" ht="20.25" x14ac:dyDescent="0.25">
      <c r="A82" s="10" t="e">
        <f>'Пшеница мягкая 28 сен'!#REF!</f>
        <v>#REF!</v>
      </c>
      <c r="B82" s="9" t="e">
        <f>IF('Пшеница мягкая 28 сен'!#REF!="","",'Пшеница мягкая 28 сен'!#REF!-'Пшеница мягкая 28 сен'!#REF!)</f>
        <v>#REF!</v>
      </c>
      <c r="C82" s="8" t="e">
        <f>'Пшеница мягкая 28 сен'!#REF!</f>
        <v>#REF!</v>
      </c>
      <c r="D82" s="9" t="e">
        <f>IF('Пшеница мягкая 28 сен'!#REF!="","",'Пшеница мягкая 28 сен'!#REF!-'Пшеница мягкая 28 сен'!#REF!)</f>
        <v>#REF!</v>
      </c>
      <c r="E82" s="8" t="e">
        <f>'Пшеница мягкая 28 сен'!#REF!</f>
        <v>#REF!</v>
      </c>
      <c r="F82" s="9" t="e">
        <f>IF('Пшеница мягкая 28 сен'!#REF!=0,"",'Пшеница мягкая 28 сен'!#REF!-'Пшеница мягкая 28 сен'!#REF!)</f>
        <v>#REF!</v>
      </c>
      <c r="G82" s="8" t="e">
        <f>'Пшеница мягкая 28 сен'!#REF!</f>
        <v>#REF!</v>
      </c>
      <c r="H82" s="9" t="e">
        <f>IF('Пшеница мягкая 28 сен'!#REF!=0,"",'Пшеница мягкая 28 сен'!#REF!-'Пшеница мягкая 28 сен'!#REF!)</f>
        <v>#REF!</v>
      </c>
      <c r="I82" s="8" t="e">
        <f>'Пшеница мягкая 28 сен'!#REF!</f>
        <v>#REF!</v>
      </c>
      <c r="J82" s="9" t="e">
        <f>IF('Пшеница мягкая 28 сен'!#REF!=0,"",'Пшеница мягкая 28 сен'!#REF!-'Пшеница мягкая 28 сен'!#REF!)</f>
        <v>#REF!</v>
      </c>
      <c r="K82" s="8" t="e">
        <f>'Пшеница мягкая 28 сен'!#REF!</f>
        <v>#REF!</v>
      </c>
      <c r="L82" s="9" t="e">
        <f>IF('Пшеница мягкая 28 сен'!#REF!=0,"",'Пшеница мягкая 28 сен'!#REF!-'Пшеница мягкая 28 сен'!#REF!)</f>
        <v>#REF!</v>
      </c>
      <c r="M82" s="8" t="e">
        <f>'Пшеница мягкая 28 сен'!#REF!</f>
        <v>#REF!</v>
      </c>
      <c r="N82" s="9" t="e">
        <f>IF(OR('Пшеница мягкая 28 сен'!#REF!="",'Пшеница мягкая 28 сен'!#REF!=0),"",'Пшеница мягкая 28 сен'!#REF!-'Пшеница мягкая 28 сен'!#REF!)</f>
        <v>#REF!</v>
      </c>
      <c r="O82" s="8" t="e">
        <f>'Пшеница мягкая 28 сен'!#REF!</f>
        <v>#REF!</v>
      </c>
    </row>
    <row r="83" spans="1:15" ht="20.25" x14ac:dyDescent="0.25">
      <c r="A83" s="10" t="e">
        <f>'Пшеница мягкая 28 сен'!#REF!</f>
        <v>#REF!</v>
      </c>
      <c r="B83" s="9" t="e">
        <f>IF('Пшеница мягкая 28 сен'!#REF!="","",'Пшеница мягкая 28 сен'!#REF!-'Пшеница мягкая 28 сен'!#REF!)</f>
        <v>#REF!</v>
      </c>
      <c r="C83" s="8" t="e">
        <f>'Пшеница мягкая 28 сен'!#REF!</f>
        <v>#REF!</v>
      </c>
      <c r="D83" s="9" t="e">
        <f>IF('Пшеница мягкая 28 сен'!#REF!="","",'Пшеница мягкая 28 сен'!#REF!-'Пшеница мягкая 28 сен'!#REF!)</f>
        <v>#REF!</v>
      </c>
      <c r="E83" s="8" t="e">
        <f>'Пшеница мягкая 28 сен'!#REF!</f>
        <v>#REF!</v>
      </c>
      <c r="F83" s="9" t="e">
        <f>IF('Пшеница мягкая 28 сен'!#REF!=0,"",'Пшеница мягкая 28 сен'!#REF!-'Пшеница мягкая 28 сен'!#REF!)</f>
        <v>#REF!</v>
      </c>
      <c r="G83" s="8" t="e">
        <f>'Пшеница мягкая 28 сен'!#REF!</f>
        <v>#REF!</v>
      </c>
      <c r="H83" s="9" t="e">
        <f>IF('Пшеница мягкая 28 сен'!#REF!=0,"",'Пшеница мягкая 28 сен'!#REF!-'Пшеница мягкая 28 сен'!#REF!)</f>
        <v>#REF!</v>
      </c>
      <c r="I83" s="8" t="e">
        <f>'Пшеница мягкая 28 сен'!#REF!</f>
        <v>#REF!</v>
      </c>
      <c r="J83" s="9" t="e">
        <f>IF('Пшеница мягкая 28 сен'!#REF!=0,"",'Пшеница мягкая 28 сен'!#REF!-'Пшеница мягкая 28 сен'!#REF!)</f>
        <v>#REF!</v>
      </c>
      <c r="K83" s="8" t="e">
        <f>'Пшеница мягкая 28 сен'!#REF!</f>
        <v>#REF!</v>
      </c>
      <c r="L83" s="9" t="e">
        <f>IF('Пшеница мягкая 28 сен'!#REF!=0,"",'Пшеница мягкая 28 сен'!#REF!-'Пшеница мягкая 28 сен'!#REF!)</f>
        <v>#REF!</v>
      </c>
      <c r="M83" s="8" t="e">
        <f>'Пшеница мягкая 28 сен'!#REF!</f>
        <v>#REF!</v>
      </c>
      <c r="N83" s="9" t="e">
        <f>IF(OR('Пшеница мягкая 28 сен'!#REF!="",'Пшеница мягкая 28 сен'!#REF!=0),"",'Пшеница мягкая 28 сен'!#REF!-'Пшеница мягкая 28 сен'!#REF!)</f>
        <v>#REF!</v>
      </c>
      <c r="O83" s="8" t="e">
        <f>'Пшеница мягкая 28 сен'!#REF!</f>
        <v>#REF!</v>
      </c>
    </row>
    <row r="84" spans="1:15" ht="20.25" x14ac:dyDescent="0.25">
      <c r="A84" s="10" t="e">
        <f>'Пшеница мягкая 28 сен'!#REF!</f>
        <v>#REF!</v>
      </c>
      <c r="B84" s="9" t="e">
        <f>IF('Пшеница мягкая 28 сен'!#REF!="","",'Пшеница мягкая 28 сен'!#REF!-'Пшеница мягкая 28 сен'!#REF!)</f>
        <v>#REF!</v>
      </c>
      <c r="C84" s="8" t="e">
        <f>'Пшеница мягкая 28 сен'!#REF!</f>
        <v>#REF!</v>
      </c>
      <c r="D84" s="9" t="e">
        <f>IF('Пшеница мягкая 28 сен'!#REF!="","",'Пшеница мягкая 28 сен'!#REF!-'Пшеница мягкая 28 сен'!#REF!)</f>
        <v>#REF!</v>
      </c>
      <c r="E84" s="8" t="e">
        <f>'Пшеница мягкая 28 сен'!#REF!</f>
        <v>#REF!</v>
      </c>
      <c r="F84" s="9" t="e">
        <f>IF('Пшеница мягкая 28 сен'!#REF!=0,"",'Пшеница мягкая 28 сен'!#REF!-'Пшеница мягкая 28 сен'!#REF!)</f>
        <v>#REF!</v>
      </c>
      <c r="G84" s="8" t="e">
        <f>'Пшеница мягкая 28 сен'!#REF!</f>
        <v>#REF!</v>
      </c>
      <c r="H84" s="9" t="e">
        <f>IF('Пшеница мягкая 28 сен'!#REF!=0,"",'Пшеница мягкая 28 сен'!#REF!-'Пшеница мягкая 28 сен'!#REF!)</f>
        <v>#REF!</v>
      </c>
      <c r="I84" s="8" t="e">
        <f>'Пшеница мягкая 28 сен'!#REF!</f>
        <v>#REF!</v>
      </c>
      <c r="J84" s="9" t="e">
        <f>IF('Пшеница мягкая 28 сен'!#REF!=0,"",'Пшеница мягкая 28 сен'!#REF!-'Пшеница мягкая 28 сен'!#REF!)</f>
        <v>#REF!</v>
      </c>
      <c r="K84" s="8" t="e">
        <f>'Пшеница мягкая 28 сен'!#REF!</f>
        <v>#REF!</v>
      </c>
      <c r="L84" s="9" t="e">
        <f>IF('Пшеница мягкая 28 сен'!#REF!=0,"",'Пшеница мягкая 28 сен'!#REF!-'Пшеница мягкая 28 сен'!#REF!)</f>
        <v>#REF!</v>
      </c>
      <c r="M84" s="8" t="e">
        <f>'Пшеница мягкая 28 сен'!#REF!</f>
        <v>#REF!</v>
      </c>
      <c r="N84" s="9" t="e">
        <f>IF(OR('Пшеница мягкая 28 сен'!#REF!="",'Пшеница мягкая 28 сен'!#REF!=0),"",'Пшеница мягкая 28 сен'!#REF!-'Пшеница мягкая 28 сен'!#REF!)</f>
        <v>#REF!</v>
      </c>
      <c r="O84" s="8" t="e">
        <f>'Пшеница мягкая 28 сен'!#REF!</f>
        <v>#REF!</v>
      </c>
    </row>
    <row r="85" spans="1:15" ht="20.25" x14ac:dyDescent="0.25">
      <c r="A85" s="10" t="e">
        <f>'Пшеница мягкая 28 сен'!#REF!</f>
        <v>#REF!</v>
      </c>
      <c r="B85" s="9" t="e">
        <f>IF('Пшеница мягкая 28 сен'!#REF!="","",'Пшеница мягкая 28 сен'!#REF!-'Пшеница мягкая 28 сен'!#REF!)</f>
        <v>#REF!</v>
      </c>
      <c r="C85" s="8" t="e">
        <f>'Пшеница мягкая 28 сен'!#REF!</f>
        <v>#REF!</v>
      </c>
      <c r="D85" s="9" t="e">
        <f>IF('Пшеница мягкая 28 сен'!#REF!="","",'Пшеница мягкая 28 сен'!#REF!-'Пшеница мягкая 28 сен'!#REF!)</f>
        <v>#REF!</v>
      </c>
      <c r="E85" s="8" t="e">
        <f>'Пшеница мягкая 28 сен'!#REF!</f>
        <v>#REF!</v>
      </c>
      <c r="F85" s="9" t="e">
        <f>IF('Пшеница мягкая 28 сен'!#REF!=0,"",'Пшеница мягкая 28 сен'!#REF!-'Пшеница мягкая 28 сен'!#REF!)</f>
        <v>#REF!</v>
      </c>
      <c r="G85" s="8" t="e">
        <f>'Пшеница мягкая 28 сен'!#REF!</f>
        <v>#REF!</v>
      </c>
      <c r="H85" s="9" t="e">
        <f>IF('Пшеница мягкая 28 сен'!#REF!=0,"",'Пшеница мягкая 28 сен'!#REF!-'Пшеница мягкая 28 сен'!#REF!)</f>
        <v>#REF!</v>
      </c>
      <c r="I85" s="8" t="e">
        <f>'Пшеница мягкая 28 сен'!#REF!</f>
        <v>#REF!</v>
      </c>
      <c r="J85" s="9" t="e">
        <f>IF('Пшеница мягкая 28 сен'!#REF!=0,"",'Пшеница мягкая 28 сен'!#REF!-'Пшеница мягкая 28 сен'!#REF!)</f>
        <v>#REF!</v>
      </c>
      <c r="K85" s="8" t="e">
        <f>'Пшеница мягкая 28 сен'!#REF!</f>
        <v>#REF!</v>
      </c>
      <c r="L85" s="9" t="e">
        <f>IF('Пшеница мягкая 28 сен'!#REF!=0,"",'Пшеница мягкая 28 сен'!#REF!-'Пшеница мягкая 28 сен'!#REF!)</f>
        <v>#REF!</v>
      </c>
      <c r="M85" s="8" t="e">
        <f>'Пшеница мягкая 28 сен'!#REF!</f>
        <v>#REF!</v>
      </c>
      <c r="N85" s="9" t="e">
        <f>IF(OR('Пшеница мягкая 28 сен'!#REF!="",'Пшеница мягкая 28 сен'!#REF!=0),"",'Пшеница мягкая 28 сен'!#REF!-'Пшеница мягкая 28 сен'!#REF!)</f>
        <v>#REF!</v>
      </c>
      <c r="O85" s="8" t="e">
        <f>'Пшеница мягкая 28 сен'!#REF!</f>
        <v>#REF!</v>
      </c>
    </row>
    <row r="86" spans="1:15" ht="20.25" x14ac:dyDescent="0.25">
      <c r="A86" s="10" t="e">
        <f>'Пшеница мягкая 28 сен'!#REF!</f>
        <v>#REF!</v>
      </c>
      <c r="B86" s="9" t="e">
        <f>IF('Пшеница мягкая 28 сен'!#REF!="","",'Пшеница мягкая 28 сен'!#REF!-'Пшеница мягкая 28 сен'!#REF!)</f>
        <v>#REF!</v>
      </c>
      <c r="C86" s="8" t="e">
        <f>'Пшеница мягкая 28 сен'!#REF!</f>
        <v>#REF!</v>
      </c>
      <c r="D86" s="9" t="e">
        <f>IF('Пшеница мягкая 28 сен'!#REF!="","",'Пшеница мягкая 28 сен'!#REF!-'Пшеница мягкая 28 сен'!#REF!)</f>
        <v>#REF!</v>
      </c>
      <c r="E86" s="8" t="e">
        <f>'Пшеница мягкая 28 сен'!#REF!</f>
        <v>#REF!</v>
      </c>
      <c r="F86" s="9" t="e">
        <f>IF('Пшеница мягкая 28 сен'!#REF!=0,"",'Пшеница мягкая 28 сен'!#REF!-'Пшеница мягкая 28 сен'!#REF!)</f>
        <v>#REF!</v>
      </c>
      <c r="G86" s="8" t="e">
        <f>'Пшеница мягкая 28 сен'!#REF!</f>
        <v>#REF!</v>
      </c>
      <c r="H86" s="9" t="e">
        <f>IF('Пшеница мягкая 28 сен'!#REF!=0,"",'Пшеница мягкая 28 сен'!#REF!-'Пшеница мягкая 28 сен'!#REF!)</f>
        <v>#REF!</v>
      </c>
      <c r="I86" s="8" t="e">
        <f>'Пшеница мягкая 28 сен'!#REF!</f>
        <v>#REF!</v>
      </c>
      <c r="J86" s="9" t="e">
        <f>IF('Пшеница мягкая 28 сен'!#REF!=0,"",'Пшеница мягкая 28 сен'!#REF!-'Пшеница мягкая 28 сен'!#REF!)</f>
        <v>#REF!</v>
      </c>
      <c r="K86" s="8" t="e">
        <f>'Пшеница мягкая 28 сен'!#REF!</f>
        <v>#REF!</v>
      </c>
      <c r="L86" s="9" t="e">
        <f>IF('Пшеница мягкая 28 сен'!#REF!=0,"",'Пшеница мягкая 28 сен'!#REF!-'Пшеница мягкая 28 сен'!#REF!)</f>
        <v>#REF!</v>
      </c>
      <c r="M86" s="8" t="e">
        <f>'Пшеница мягкая 28 сен'!#REF!</f>
        <v>#REF!</v>
      </c>
      <c r="N86" s="9" t="e">
        <f>IF(OR('Пшеница мягкая 28 сен'!#REF!="",'Пшеница мягкая 28 сен'!#REF!=0),"",'Пшеница мягкая 28 сен'!#REF!-'Пшеница мягкая 28 сен'!#REF!)</f>
        <v>#REF!</v>
      </c>
      <c r="O86" s="8" t="e">
        <f>'Пшеница мягкая 28 сен'!#REF!</f>
        <v>#REF!</v>
      </c>
    </row>
    <row r="87" spans="1:15" ht="20.25" x14ac:dyDescent="0.25">
      <c r="A87" s="10" t="e">
        <f>'Пшеница мягкая 28 сен'!#REF!</f>
        <v>#REF!</v>
      </c>
      <c r="B87" s="9" t="e">
        <f>IF('Пшеница мягкая 28 сен'!#REF!="","",'Пшеница мягкая 28 сен'!#REF!-'Пшеница мягкая 28 сен'!#REF!)</f>
        <v>#REF!</v>
      </c>
      <c r="C87" s="8" t="e">
        <f>'Пшеница мягкая 28 сен'!#REF!</f>
        <v>#REF!</v>
      </c>
      <c r="D87" s="9" t="e">
        <f>IF('Пшеница мягкая 28 сен'!#REF!="","",'Пшеница мягкая 28 сен'!#REF!-'Пшеница мягкая 28 сен'!#REF!)</f>
        <v>#REF!</v>
      </c>
      <c r="E87" s="8" t="e">
        <f>'Пшеница мягкая 28 сен'!#REF!</f>
        <v>#REF!</v>
      </c>
      <c r="F87" s="9" t="e">
        <f>IF('Пшеница мягкая 28 сен'!#REF!=0,"",'Пшеница мягкая 28 сен'!#REF!-'Пшеница мягкая 28 сен'!#REF!)</f>
        <v>#REF!</v>
      </c>
      <c r="G87" s="8" t="e">
        <f>'Пшеница мягкая 28 сен'!#REF!</f>
        <v>#REF!</v>
      </c>
      <c r="H87" s="9" t="e">
        <f>IF('Пшеница мягкая 28 сен'!#REF!=0,"",'Пшеница мягкая 28 сен'!#REF!-'Пшеница мягкая 28 сен'!#REF!)</f>
        <v>#REF!</v>
      </c>
      <c r="I87" s="8" t="e">
        <f>'Пшеница мягкая 28 сен'!#REF!</f>
        <v>#REF!</v>
      </c>
      <c r="J87" s="9" t="e">
        <f>IF('Пшеница мягкая 28 сен'!#REF!=0,"",'Пшеница мягкая 28 сен'!#REF!-'Пшеница мягкая 28 сен'!#REF!)</f>
        <v>#REF!</v>
      </c>
      <c r="K87" s="8" t="e">
        <f>'Пшеница мягкая 28 сен'!#REF!</f>
        <v>#REF!</v>
      </c>
      <c r="L87" s="9" t="e">
        <f>IF('Пшеница мягкая 28 сен'!#REF!=0,"",'Пшеница мягкая 28 сен'!#REF!-'Пшеница мягкая 28 сен'!#REF!)</f>
        <v>#REF!</v>
      </c>
      <c r="M87" s="8" t="e">
        <f>'Пшеница мягкая 28 сен'!#REF!</f>
        <v>#REF!</v>
      </c>
      <c r="N87" s="9" t="e">
        <f>IF(OR('Пшеница мягкая 28 сен'!#REF!="",'Пшеница мягкая 28 сен'!#REF!=0),"",'Пшеница мягкая 28 сен'!#REF!-'Пшеница мягкая 28 сен'!#REF!)</f>
        <v>#REF!</v>
      </c>
      <c r="O87" s="8" t="e">
        <f>'Пшеница мягкая 28 сен'!#REF!</f>
        <v>#REF!</v>
      </c>
    </row>
    <row r="88" spans="1:1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</sheetData>
  <mergeCells count="10">
    <mergeCell ref="A1:O1"/>
    <mergeCell ref="A2:O2"/>
    <mergeCell ref="A4:A5"/>
    <mergeCell ref="B4:C4"/>
    <mergeCell ref="D4:E4"/>
    <mergeCell ref="F4:G4"/>
    <mergeCell ref="H4:I4"/>
    <mergeCell ref="J4:K4"/>
    <mergeCell ref="L4:M4"/>
    <mergeCell ref="N4:O4"/>
  </mergeCells>
  <conditionalFormatting sqref="C6:C87">
    <cfRule type="expression" dxfId="17" priority="659">
      <formula>AND((C6-#REF!)&gt;-2.9,(C6-#REF!)&lt;2.9)</formula>
    </cfRule>
    <cfRule type="expression" dxfId="16" priority="660">
      <formula>((C6-#REF!)&gt;=2.9)</formula>
    </cfRule>
    <cfRule type="expression" dxfId="15" priority="661">
      <formula>((C6-#REF!)&lt;=-2.9)</formula>
    </cfRule>
  </conditionalFormatting>
  <conditionalFormatting sqref="E6:E87">
    <cfRule type="expression" dxfId="14" priority="656">
      <formula>AND((E6-#REF!)&gt;-2.9,(E6-#REF!)&lt;2.9)</formula>
    </cfRule>
    <cfRule type="expression" dxfId="13" priority="657">
      <formula>((E6-#REF!)&gt;=2.9)</formula>
    </cfRule>
    <cfRule type="expression" dxfId="12" priority="658">
      <formula>((E6-#REF!)&lt;=-2.9)</formula>
    </cfRule>
  </conditionalFormatting>
  <conditionalFormatting sqref="G6:G87">
    <cfRule type="expression" dxfId="11" priority="653">
      <formula>AND((G6-#REF!)&gt;-2.9,(G6-#REF!)&lt;2.9)</formula>
    </cfRule>
    <cfRule type="expression" dxfId="10" priority="654">
      <formula>((G6-#REF!)&gt;=2.9)</formula>
    </cfRule>
    <cfRule type="expression" dxfId="9" priority="655">
      <formula>((G6-#REF!)&lt;=-2.9)</formula>
    </cfRule>
  </conditionalFormatting>
  <conditionalFormatting sqref="I6:I87">
    <cfRule type="expression" dxfId="8" priority="650">
      <formula>AND((I6-#REF!)&gt;-2.9,(I6-#REF!)&lt;2.9)</formula>
    </cfRule>
    <cfRule type="expression" dxfId="7" priority="651">
      <formula>((I6-#REF!)&gt;=2.9)</formula>
    </cfRule>
    <cfRule type="expression" dxfId="6" priority="652">
      <formula>((I6-#REF!)&lt;=-2.9)</formula>
    </cfRule>
  </conditionalFormatting>
  <conditionalFormatting sqref="K6:K87">
    <cfRule type="expression" dxfId="5" priority="638">
      <formula>AND((K6-#REF!)&gt;-2.9,(K6-#REF!)&lt;2.9)</formula>
    </cfRule>
    <cfRule type="expression" dxfId="4" priority="639">
      <formula>((K6-#REF!)&gt;=2.9)</formula>
    </cfRule>
    <cfRule type="expression" dxfId="3" priority="640">
      <formula>((K6-#REF!)&lt;=-2.9)</formula>
    </cfRule>
  </conditionalFormatting>
  <conditionalFormatting sqref="M6:M87 O6:O87">
    <cfRule type="expression" dxfId="2" priority="626">
      <formula>AND((M6-#REF!)&gt;-2.9,(M6-#REF!)&lt;2.9)</formula>
    </cfRule>
    <cfRule type="expression" dxfId="1" priority="627">
      <formula>((M6-#REF!)&gt;=2.9)</formula>
    </cfRule>
    <cfRule type="expression" dxfId="0" priority="628">
      <formula>((M6-#REF!)&lt;=-2.9)</formula>
    </cfRule>
  </conditionalFormatting>
  <conditionalFormatting sqref="F6:F87 B6:B87 D6:D87">
    <cfRule type="iconSet" priority="4493">
      <iconSet iconSet="3Arrows" showValue="0">
        <cfvo type="percent" val="0"/>
        <cfvo type="num" val="-2.9"/>
        <cfvo type="num" val="2.9"/>
      </iconSet>
    </cfRule>
  </conditionalFormatting>
  <conditionalFormatting sqref="H6:H87">
    <cfRule type="iconSet" priority="4499">
      <iconSet iconSet="3Arrows" showValue="0">
        <cfvo type="percent" val="0"/>
        <cfvo type="num" val="-2.9"/>
        <cfvo type="num" val="2.9"/>
      </iconSet>
    </cfRule>
  </conditionalFormatting>
  <conditionalFormatting sqref="J6:J87">
    <cfRule type="iconSet" priority="4501">
      <iconSet iconSet="3Arrows" showValue="0">
        <cfvo type="percent" val="0"/>
        <cfvo type="num" val="-2.9"/>
        <cfvo type="num" val="2.9"/>
      </iconSet>
    </cfRule>
  </conditionalFormatting>
  <conditionalFormatting sqref="L6:L87">
    <cfRule type="iconSet" priority="4503">
      <iconSet iconSet="3Arrows" showValue="0">
        <cfvo type="percent" val="0"/>
        <cfvo type="num" val="-2.9"/>
        <cfvo type="num" val="2.9"/>
      </iconSet>
    </cfRule>
  </conditionalFormatting>
  <conditionalFormatting sqref="N6:N87">
    <cfRule type="iconSet" priority="4505">
      <iconSet iconSet="3Arrows" showValue="0">
        <cfvo type="percent" val="0"/>
        <cfvo type="num" val="-2.9"/>
        <cfvo type="num" val="2.9"/>
      </iconSet>
    </cfRule>
  </conditionalFormatting>
  <printOptions horizontalCentered="1"/>
  <pageMargins left="0.19685039370078741" right="0.19685039370078741" top="0.19685039370078741" bottom="0.19685039370078741" header="0" footer="0"/>
  <pageSetup paperSize="9" scale="54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88065" r:id="rId4" name="CommandButton1">
          <controlPr defaultSize="0" autoLine="0" r:id="rId5">
            <anchor moveWithCells="1">
              <from>
                <xdr:col>16</xdr:col>
                <xdr:colOff>0</xdr:colOff>
                <xdr:row>0</xdr:row>
                <xdr:rowOff>209550</xdr:rowOff>
              </from>
              <to>
                <xdr:col>17</xdr:col>
                <xdr:colOff>828675</xdr:colOff>
                <xdr:row>3</xdr:row>
                <xdr:rowOff>219075</xdr:rowOff>
              </to>
            </anchor>
          </controlPr>
        </control>
      </mc:Choice>
      <mc:Fallback>
        <control shapeId="88065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Пшеница мягкая 28 сен</vt:lpstr>
      <vt:lpstr>цвет (стрелочки)</vt:lpstr>
      <vt:lpstr>'Пшеница мягкая 28 сен'!Заголовки_для_печати</vt:lpstr>
      <vt:lpstr>'цвет (стрелочки)'!Заголовки_для_печати</vt:lpstr>
      <vt:lpstr>'Пшеница мягкая 28 сен'!Область_печати</vt:lpstr>
      <vt:lpstr>'цвет (стрелочки)'!Область_печати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Колесников Владислав Геннадьевич</cp:lastModifiedBy>
  <cp:lastPrinted>2026-07-07T11:17:26Z</cp:lastPrinted>
  <dcterms:created xsi:type="dcterms:W3CDTF">2018-08-21T14:04:12Z</dcterms:created>
  <dcterms:modified xsi:type="dcterms:W3CDTF">2026-10-02T11:39:22Z</dcterms:modified>
</cp:coreProperties>
</file>