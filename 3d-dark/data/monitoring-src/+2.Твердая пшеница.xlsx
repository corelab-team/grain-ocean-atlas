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drawings/drawing2.xml" ContentType="application/vnd.openxmlformats-officedocument.drawing+xml"/>
  <Override PartName="/xl/activeX/activeX2.xml" ContentType="application/vnd.ms-office.activeX+xml"/>
  <Override PartName="/xl/activeX/activeX2.bin" ContentType="application/vnd.ms-office.activeX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dmitriev.aa\Desktop\ПШЕНИЦЫ\"/>
    </mc:Choice>
  </mc:AlternateContent>
  <xr:revisionPtr revIDLastSave="0" documentId="13_ncr:1_{8E2DE612-0F8D-417C-9FFF-6BF678E8B1A0}" xr6:coauthVersionLast="36" xr6:coauthVersionMax="36" xr10:uidLastSave="{00000000-0000-0000-0000-000000000000}"/>
  <bookViews>
    <workbookView xWindow="0" yWindow="0" windowWidth="28800" windowHeight="11325" firstSheet="2" activeTab="2" xr2:uid="{00000000-000D-0000-FFFF-FFFF00000000}"/>
  </bookViews>
  <sheets>
    <sheet name="Пшеница мягкая (Л) (5)" sheetId="12" state="hidden" r:id="rId1"/>
    <sheet name="Пшеница мягкая (Л) (3)" sheetId="14" state="hidden" r:id="rId2"/>
    <sheet name="Пшеница твердая 5 окт" sheetId="34" r:id="rId3"/>
    <sheet name="цвет (стрелочки)" sheetId="36" state="hidden" r:id="rId4"/>
  </sheets>
  <definedNames>
    <definedName name="_xlnm._FilterDatabase" localSheetId="1" hidden="1">'Пшеница мягкая (Л) (3)'!$A$5:$EG$17</definedName>
    <definedName name="_xlnm._FilterDatabase" localSheetId="0" hidden="1">'Пшеница мягкая (Л) (5)'!$A$5:$ER$19</definedName>
    <definedName name="_xlnm._FilterDatabase" localSheetId="2" hidden="1">'Пшеница твердая 5 окт'!$A$5:$DA$37</definedName>
    <definedName name="_xlnm._FilterDatabase" localSheetId="3" hidden="1">'цвет (стрелочки)'!$A$4:$M$8</definedName>
    <definedName name="_xlnm.Print_Titles" localSheetId="1">'Пшеница мягкая (Л) (3)'!$4:$5</definedName>
    <definedName name="_xlnm.Print_Titles" localSheetId="0">'Пшеница мягкая (Л) (5)'!$4:$5</definedName>
    <definedName name="_xlnm.Print_Titles" localSheetId="2">'Пшеница твердая 5 окт'!$4:$5</definedName>
    <definedName name="_xlnm.Print_Titles" localSheetId="3">'цвет (стрелочки)'!$4:$5</definedName>
    <definedName name="_xlnm.Print_Area" localSheetId="1">'Пшеница мягкая (Л) (3)'!$A$1:$E$22</definedName>
    <definedName name="_xlnm.Print_Area" localSheetId="0">'Пшеница мягкая (Л) (5)'!$A$1:$P$24</definedName>
    <definedName name="_xlnm.Print_Area" localSheetId="2">'Пшеница твердая 5 окт'!$A$1:$P$37</definedName>
    <definedName name="_xlnm.Print_Area" localSheetId="3">'цвет (стрелочки)'!$A$1:$M$8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" i="36" l="1"/>
  <c r="M8" i="36"/>
  <c r="L8" i="36"/>
  <c r="M7" i="36"/>
  <c r="L7" i="36"/>
  <c r="L6" i="36"/>
  <c r="K6" i="36"/>
  <c r="J6" i="36"/>
  <c r="I8" i="36"/>
  <c r="H8" i="36"/>
  <c r="I7" i="36"/>
  <c r="H7" i="36"/>
  <c r="I6" i="36"/>
  <c r="H6" i="36"/>
  <c r="G8" i="36"/>
  <c r="F8" i="36"/>
  <c r="G7" i="36"/>
  <c r="F7" i="36"/>
  <c r="G6" i="36"/>
  <c r="F6" i="36"/>
  <c r="E8" i="36"/>
  <c r="D8" i="36"/>
  <c r="E7" i="36"/>
  <c r="D7" i="36"/>
  <c r="E6" i="36"/>
  <c r="D6" i="36"/>
  <c r="C8" i="36"/>
  <c r="B8" i="36"/>
  <c r="C7" i="36"/>
  <c r="B7" i="36"/>
  <c r="C6" i="36"/>
  <c r="B6" i="36"/>
  <c r="A8" i="36"/>
  <c r="A7" i="36"/>
  <c r="A6" i="36"/>
  <c r="A2" i="36"/>
  <c r="K8" i="36" l="1"/>
  <c r="J8" i="36"/>
  <c r="K7" i="36"/>
  <c r="J7" i="36"/>
  <c r="F6" i="14" l="1"/>
  <c r="F7" i="14"/>
  <c r="M19" i="12" l="1"/>
  <c r="K19" i="12"/>
  <c r="I19" i="12"/>
  <c r="G19" i="12"/>
  <c r="M18" i="12"/>
  <c r="K18" i="12"/>
  <c r="I18" i="12"/>
  <c r="G18" i="12"/>
  <c r="M17" i="12"/>
  <c r="K17" i="12"/>
  <c r="I17" i="12"/>
  <c r="G17" i="12"/>
  <c r="M16" i="12"/>
  <c r="K16" i="12"/>
  <c r="I16" i="12"/>
  <c r="G16" i="12"/>
  <c r="M15" i="12"/>
  <c r="K15" i="12"/>
  <c r="I15" i="12"/>
  <c r="G15" i="12"/>
  <c r="M14" i="12"/>
  <c r="K14" i="12"/>
  <c r="I14" i="12"/>
  <c r="G14" i="12"/>
  <c r="M13" i="12"/>
  <c r="K13" i="12"/>
  <c r="I13" i="12"/>
  <c r="G13" i="12"/>
  <c r="M12" i="12"/>
  <c r="K12" i="12"/>
  <c r="I12" i="12"/>
  <c r="G12" i="12"/>
  <c r="M11" i="12"/>
  <c r="K11" i="12"/>
  <c r="I11" i="12"/>
  <c r="G11" i="12"/>
  <c r="M10" i="12"/>
  <c r="K10" i="12"/>
  <c r="I10" i="12"/>
  <c r="G10" i="12"/>
  <c r="M9" i="12"/>
  <c r="K9" i="12"/>
  <c r="I9" i="12"/>
  <c r="G9" i="12"/>
  <c r="M8" i="12"/>
  <c r="K8" i="12"/>
  <c r="I8" i="12"/>
  <c r="G8" i="12"/>
  <c r="M7" i="12"/>
  <c r="K7" i="12"/>
  <c r="I7" i="12"/>
  <c r="G7" i="12"/>
  <c r="M6" i="12"/>
  <c r="K6" i="12"/>
  <c r="I6" i="12"/>
  <c r="G6" i="12"/>
</calcChain>
</file>

<file path=xl/sharedStrings.xml><?xml version="1.0" encoding="utf-8"?>
<sst xmlns="http://schemas.openxmlformats.org/spreadsheetml/2006/main" count="124" uniqueCount="72">
  <si>
    <t xml:space="preserve">Наименование субъекта  Российской федерации </t>
  </si>
  <si>
    <t>Год**</t>
  </si>
  <si>
    <t>Валовой сбор, тыс.т</t>
  </si>
  <si>
    <t>Урожайность, ц/га</t>
  </si>
  <si>
    <t>Обследовано, тыс. т</t>
  </si>
  <si>
    <t>% от валового сбора</t>
  </si>
  <si>
    <t>2 класс</t>
  </si>
  <si>
    <t>3 класс</t>
  </si>
  <si>
    <t xml:space="preserve">4 класс </t>
  </si>
  <si>
    <t>5 класс</t>
  </si>
  <si>
    <t>несоответствующая ГОСТ</t>
  </si>
  <si>
    <t>тыс.т</t>
  </si>
  <si>
    <t>% от обслед.</t>
  </si>
  <si>
    <t>Всего</t>
  </si>
  <si>
    <t>Южный фед. округ</t>
  </si>
  <si>
    <t>Волгоградская область</t>
  </si>
  <si>
    <t>Краснодарский край</t>
  </si>
  <si>
    <t>Ростовская область</t>
  </si>
  <si>
    <t>Северо-Кавказский фед. округ</t>
  </si>
  <si>
    <t>Ставропольский край</t>
  </si>
  <si>
    <t>* 1 класса не выявлено</t>
  </si>
  <si>
    <t>по состоянию на 08.07.2019</t>
  </si>
  <si>
    <r>
      <rPr>
        <sz val="18"/>
        <color indexed="8"/>
        <rFont val="Times New Roman"/>
        <family val="1"/>
        <charset val="204"/>
      </rPr>
      <t xml:space="preserve">Отчет по изучению качества </t>
    </r>
    <r>
      <rPr>
        <b/>
        <sz val="18"/>
        <color indexed="8"/>
        <rFont val="Times New Roman"/>
        <family val="1"/>
        <charset val="204"/>
      </rPr>
      <t>мягкой</t>
    </r>
    <r>
      <rPr>
        <sz val="18"/>
        <color indexed="8"/>
        <rFont val="Times New Roman"/>
        <family val="1"/>
        <charset val="204"/>
      </rPr>
      <t xml:space="preserve"> </t>
    </r>
    <r>
      <rPr>
        <b/>
        <sz val="18"/>
        <color indexed="8"/>
        <rFont val="Times New Roman"/>
        <family val="1"/>
        <charset val="204"/>
      </rPr>
      <t>пшеницы</t>
    </r>
    <r>
      <rPr>
        <sz val="18"/>
        <color indexed="8"/>
        <rFont val="Times New Roman"/>
        <family val="1"/>
        <charset val="204"/>
      </rPr>
      <t xml:space="preserve"> нового урожая 2019 года</t>
    </r>
  </si>
  <si>
    <t>2019&gt;2018</t>
  </si>
  <si>
    <t>2019&lt;2018</t>
  </si>
  <si>
    <r>
      <t>2019</t>
    </r>
    <r>
      <rPr>
        <sz val="11"/>
        <color indexed="8"/>
        <rFont val="Symbol"/>
        <family val="1"/>
        <charset val="2"/>
      </rPr>
      <t>»</t>
    </r>
    <r>
      <rPr>
        <sz val="11"/>
        <color indexed="8"/>
        <rFont val="Times New Roman"/>
        <family val="1"/>
        <charset val="204"/>
      </rPr>
      <t>2018</t>
    </r>
  </si>
  <si>
    <t>Мониторинг зерна урожая 2019 года осуществляется с 08.07.2019, урожая 2018 года - с 05.07.2018</t>
  </si>
  <si>
    <t>** Данные по ФО за 2018 г. сформированы в соответствии с регионами, обследуемыми в 2019 г.</t>
  </si>
  <si>
    <t>*** В 2018 году представлены данные мониторинга на аналогичный период</t>
  </si>
  <si>
    <t>доля, %</t>
  </si>
  <si>
    <t>2020&gt;2019</t>
  </si>
  <si>
    <r>
      <t>2020</t>
    </r>
    <r>
      <rPr>
        <sz val="11"/>
        <color indexed="8"/>
        <rFont val="Symbol"/>
        <family val="1"/>
        <charset val="2"/>
      </rPr>
      <t>»</t>
    </r>
    <r>
      <rPr>
        <sz val="11"/>
        <color indexed="8"/>
        <rFont val="Times New Roman"/>
        <family val="1"/>
        <charset val="204"/>
      </rPr>
      <t>2019</t>
    </r>
  </si>
  <si>
    <t>2 кл</t>
  </si>
  <si>
    <t>3 кл</t>
  </si>
  <si>
    <t>4 кл</t>
  </si>
  <si>
    <t>5 кл</t>
  </si>
  <si>
    <t>1 класс</t>
  </si>
  <si>
    <t xml:space="preserve">ИТОГО
1-4 класс </t>
  </si>
  <si>
    <t xml:space="preserve">Наименование субъекта 
 Российской Федерации </t>
  </si>
  <si>
    <t>2022&gt;2021</t>
  </si>
  <si>
    <t>2022&lt;2021</t>
  </si>
  <si>
    <r>
      <t>2022</t>
    </r>
    <r>
      <rPr>
        <sz val="11"/>
        <color indexed="8"/>
        <rFont val="Symbol"/>
        <family val="1"/>
        <charset val="2"/>
      </rPr>
      <t>»</t>
    </r>
    <r>
      <rPr>
        <sz val="11"/>
        <color indexed="8"/>
        <rFont val="Times New Roman"/>
        <family val="1"/>
        <charset val="204"/>
      </rPr>
      <t>2021</t>
    </r>
  </si>
  <si>
    <r>
      <rPr>
        <sz val="16"/>
        <color indexed="8"/>
        <rFont val="Times New Roman"/>
        <family val="1"/>
        <charset val="204"/>
      </rPr>
      <t xml:space="preserve">Отчет по изучению качества твердой </t>
    </r>
    <r>
      <rPr>
        <b/>
        <sz val="16"/>
        <color indexed="8"/>
        <rFont val="Times New Roman"/>
        <family val="1"/>
        <charset val="204"/>
      </rPr>
      <t>пшеницы</t>
    </r>
    <r>
      <rPr>
        <sz val="16"/>
        <color indexed="8"/>
        <rFont val="Times New Roman"/>
        <family val="1"/>
        <charset val="204"/>
      </rPr>
      <t xml:space="preserve"> нового урожая 2022 года</t>
    </r>
  </si>
  <si>
    <t>∆ к 2021</t>
  </si>
  <si>
    <t>несоответствующая ГОСТ*</t>
  </si>
  <si>
    <t>Республика Калмыкия</t>
  </si>
  <si>
    <t>Приволжский фед. округ</t>
  </si>
  <si>
    <t>Оренбургская область</t>
  </si>
  <si>
    <t>Самарская область</t>
  </si>
  <si>
    <t>Уральский фед. округ</t>
  </si>
  <si>
    <t>Челябинская область</t>
  </si>
  <si>
    <t>Ульяновская область</t>
  </si>
  <si>
    <t>Центральный фед. округ</t>
  </si>
  <si>
    <t>Сибирский фед. округ</t>
  </si>
  <si>
    <t>Алтайский край</t>
  </si>
  <si>
    <t>Курская область</t>
  </si>
  <si>
    <t>Омская область</t>
  </si>
  <si>
    <t>Республика Крым</t>
  </si>
  <si>
    <t>Пензенская область</t>
  </si>
  <si>
    <t>Республика Северная Осетия - Алания</t>
  </si>
  <si>
    <t>Республика Дагестан</t>
  </si>
  <si>
    <t>Белгородская область</t>
  </si>
  <si>
    <t>Тамбовская область</t>
  </si>
  <si>
    <r>
      <rPr>
        <sz val="14"/>
        <color indexed="8"/>
        <rFont val="Times New Roman"/>
        <family val="1"/>
        <charset val="204"/>
      </rPr>
      <t>Отчет по изучению качества</t>
    </r>
    <r>
      <rPr>
        <b/>
        <sz val="14"/>
        <color rgb="FF000000"/>
        <rFont val="Times New Roman"/>
        <family val="1"/>
        <charset val="204"/>
      </rPr>
      <t xml:space="preserve"> ТВЕРДОЙ ПШЕНИЦЫ</t>
    </r>
    <r>
      <rPr>
        <sz val="14"/>
        <color indexed="8"/>
        <rFont val="Times New Roman"/>
        <family val="1"/>
        <charset val="204"/>
      </rPr>
      <t xml:space="preserve"> нового урожая 2026 года</t>
    </r>
  </si>
  <si>
    <t>Республика Башкортостан</t>
  </si>
  <si>
    <t>Липецкая область</t>
  </si>
  <si>
    <t>Курганская область</t>
  </si>
  <si>
    <t>Орловская область</t>
  </si>
  <si>
    <t>Воронежская область</t>
  </si>
  <si>
    <t>Тюменская область</t>
  </si>
  <si>
    <t>по состоянию на 5 октября</t>
  </si>
  <si>
    <t xml:space="preserve">Нижегородская область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</si>
</sst>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\ _₽_-;\-* #,##0.00\ _₽_-;_-* &quot;-&quot;??\ _₽_-;_-@_-"/>
    <numFmt numFmtId="164" formatCode="#,##0.0"/>
    <numFmt numFmtId="165" formatCode="0.0"/>
    <numFmt numFmtId="166" formatCode="0.0%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6"/>
      <color indexed="8"/>
      <name val="Calibri"/>
      <family val="2"/>
      <charset val="204"/>
    </font>
    <font>
      <b/>
      <sz val="18"/>
      <color indexed="8"/>
      <name val="Times New Roman"/>
      <family val="1"/>
      <charset val="204"/>
    </font>
    <font>
      <sz val="10"/>
      <color indexed="8"/>
      <name val="Calibri"/>
      <family val="2"/>
      <charset val="204"/>
    </font>
    <font>
      <sz val="11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b/>
      <sz val="12"/>
      <color indexed="8"/>
      <name val="Times New Roman"/>
      <family val="1"/>
      <charset val="204"/>
    </font>
    <font>
      <sz val="10"/>
      <name val="Arial Cyr"/>
      <charset val="204"/>
    </font>
    <font>
      <sz val="12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sz val="11"/>
      <color indexed="8"/>
      <name val="Symbol"/>
      <family val="1"/>
      <charset val="2"/>
    </font>
    <font>
      <sz val="14"/>
      <name val="Times New Roman"/>
      <family val="1"/>
      <charset val="204"/>
    </font>
    <font>
      <b/>
      <sz val="14"/>
      <color indexed="8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8"/>
      <color indexed="8"/>
      <name val="Times New Roman"/>
      <family val="1"/>
      <charset val="204"/>
    </font>
    <font>
      <b/>
      <sz val="22"/>
      <color indexed="8"/>
      <name val="Times New Roman"/>
      <family val="1"/>
      <charset val="204"/>
    </font>
    <font>
      <b/>
      <sz val="16"/>
      <color indexed="8"/>
      <name val="Times New Roman"/>
      <family val="1"/>
      <charset val="204"/>
    </font>
    <font>
      <sz val="16"/>
      <color indexed="8"/>
      <name val="Times New Roman"/>
      <family val="1"/>
      <charset val="204"/>
    </font>
    <font>
      <sz val="12"/>
      <name val="Times New Roman"/>
      <family val="1"/>
      <charset val="204"/>
    </font>
    <font>
      <sz val="11"/>
      <color indexed="10"/>
      <name val="Calibri"/>
      <family val="2"/>
      <charset val="204"/>
    </font>
    <font>
      <b/>
      <sz val="14"/>
      <color rgb="FF000000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indexed="8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9C115"/>
        <bgColor indexed="64"/>
      </patternFill>
    </fill>
    <fill>
      <patternFill patternType="solid">
        <fgColor rgb="FFFBD66D"/>
        <bgColor indexed="64"/>
      </patternFill>
    </fill>
    <fill>
      <patternFill patternType="solid">
        <fgColor rgb="FFF09570"/>
        <bgColor indexed="64"/>
      </patternFill>
    </fill>
    <fill>
      <patternFill patternType="solid">
        <fgColor rgb="FFACB414"/>
        <bgColor indexed="64"/>
      </patternFill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4" fillId="0" borderId="0"/>
    <xf numFmtId="0" fontId="6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3" fillId="0" borderId="0"/>
    <xf numFmtId="0" fontId="2" fillId="0" borderId="0"/>
    <xf numFmtId="0" fontId="1" fillId="0" borderId="0"/>
  </cellStyleXfs>
  <cellXfs count="142">
    <xf numFmtId="0" fontId="0" fillId="0" borderId="0" xfId="0"/>
    <xf numFmtId="0" fontId="8" fillId="0" borderId="0" xfId="1" applyFont="1"/>
    <xf numFmtId="0" fontId="10" fillId="0" borderId="0" xfId="1" applyFont="1" applyBorder="1"/>
    <xf numFmtId="164" fontId="10" fillId="0" borderId="0" xfId="1" applyNumberFormat="1" applyFont="1" applyBorder="1" applyAlignment="1">
      <alignment horizontal="right"/>
    </xf>
    <xf numFmtId="165" fontId="10" fillId="0" borderId="0" xfId="1" applyNumberFormat="1" applyFont="1" applyBorder="1"/>
    <xf numFmtId="164" fontId="10" fillId="0" borderId="0" xfId="1" applyNumberFormat="1" applyFont="1" applyBorder="1"/>
    <xf numFmtId="164" fontId="7" fillId="0" borderId="0" xfId="1" applyNumberFormat="1" applyBorder="1"/>
    <xf numFmtId="0" fontId="7" fillId="0" borderId="0" xfId="1" applyBorder="1"/>
    <xf numFmtId="0" fontId="7" fillId="0" borderId="0" xfId="1"/>
    <xf numFmtId="0" fontId="11" fillId="0" borderId="7" xfId="1" applyFont="1" applyFill="1" applyBorder="1" applyAlignment="1">
      <alignment horizontal="center" vertical="center"/>
    </xf>
    <xf numFmtId="166" fontId="7" fillId="0" borderId="0" xfId="1" applyNumberFormat="1"/>
    <xf numFmtId="165" fontId="7" fillId="0" borderId="0" xfId="1" applyNumberFormat="1"/>
    <xf numFmtId="164" fontId="7" fillId="0" borderId="0" xfId="1" applyNumberFormat="1"/>
    <xf numFmtId="0" fontId="7" fillId="0" borderId="0" xfId="1" applyFill="1"/>
    <xf numFmtId="0" fontId="7" fillId="3" borderId="0" xfId="1" applyFill="1"/>
    <xf numFmtId="0" fontId="11" fillId="0" borderId="11" xfId="1" applyFont="1" applyFill="1" applyBorder="1" applyAlignment="1">
      <alignment horizontal="center" vertical="center"/>
    </xf>
    <xf numFmtId="0" fontId="15" fillId="0" borderId="0" xfId="1" applyFont="1" applyFill="1"/>
    <xf numFmtId="0" fontId="15" fillId="3" borderId="0" xfId="1" applyFont="1" applyFill="1"/>
    <xf numFmtId="2" fontId="14" fillId="0" borderId="0" xfId="4" applyNumberFormat="1"/>
    <xf numFmtId="0" fontId="14" fillId="0" borderId="0" xfId="4"/>
    <xf numFmtId="164" fontId="11" fillId="2" borderId="0" xfId="5" applyNumberFormat="1" applyFont="1" applyFill="1" applyBorder="1" applyAlignment="1"/>
    <xf numFmtId="164" fontId="11" fillId="4" borderId="0" xfId="5" applyNumberFormat="1" applyFont="1" applyFill="1" applyBorder="1" applyAlignment="1"/>
    <xf numFmtId="164" fontId="11" fillId="5" borderId="0" xfId="5" applyNumberFormat="1" applyFont="1" applyFill="1" applyBorder="1" applyAlignment="1"/>
    <xf numFmtId="164" fontId="6" fillId="0" borderId="0" xfId="5" applyNumberFormat="1" applyFill="1" applyBorder="1"/>
    <xf numFmtId="0" fontId="6" fillId="0" borderId="0" xfId="5" applyFill="1" applyBorder="1"/>
    <xf numFmtId="164" fontId="7" fillId="0" borderId="0" xfId="1" applyNumberFormat="1" applyAlignment="1">
      <alignment horizontal="right"/>
    </xf>
    <xf numFmtId="164" fontId="13" fillId="6" borderId="9" xfId="2" applyNumberFormat="1" applyFont="1" applyFill="1" applyBorder="1" applyAlignment="1">
      <alignment horizontal="center" vertical="center"/>
    </xf>
    <xf numFmtId="0" fontId="16" fillId="0" borderId="0" xfId="5" applyFont="1" applyBorder="1" applyAlignment="1"/>
    <xf numFmtId="164" fontId="11" fillId="0" borderId="2" xfId="1" applyNumberFormat="1" applyFont="1" applyFill="1" applyBorder="1" applyAlignment="1">
      <alignment horizontal="center" vertical="center" wrapText="1"/>
    </xf>
    <xf numFmtId="0" fontId="11" fillId="0" borderId="3" xfId="1" applyFont="1" applyFill="1" applyBorder="1" applyAlignment="1">
      <alignment horizontal="center" vertical="center" wrapText="1"/>
    </xf>
    <xf numFmtId="0" fontId="16" fillId="0" borderId="0" xfId="5" applyFont="1" applyBorder="1" applyAlignment="1">
      <alignment horizontal="left"/>
    </xf>
    <xf numFmtId="164" fontId="19" fillId="0" borderId="7" xfId="2" applyNumberFormat="1" applyFont="1" applyFill="1" applyBorder="1" applyAlignment="1">
      <alignment horizontal="center" vertical="center"/>
    </xf>
    <xf numFmtId="164" fontId="19" fillId="0" borderId="8" xfId="2" applyNumberFormat="1" applyFont="1" applyFill="1" applyBorder="1" applyAlignment="1">
      <alignment horizontal="center" vertical="center"/>
    </xf>
    <xf numFmtId="164" fontId="19" fillId="0" borderId="9" xfId="2" applyNumberFormat="1" applyFont="1" applyFill="1" applyBorder="1" applyAlignment="1">
      <alignment horizontal="center" vertical="center"/>
    </xf>
    <xf numFmtId="164" fontId="20" fillId="0" borderId="11" xfId="2" applyNumberFormat="1" applyFont="1" applyFill="1" applyBorder="1" applyAlignment="1">
      <alignment horizontal="center" vertical="center"/>
    </xf>
    <xf numFmtId="164" fontId="20" fillId="0" borderId="11" xfId="1" applyNumberFormat="1" applyFont="1" applyFill="1" applyBorder="1" applyAlignment="1">
      <alignment horizontal="center" vertical="center"/>
    </xf>
    <xf numFmtId="164" fontId="20" fillId="0" borderId="12" xfId="2" applyNumberFormat="1" applyFont="1" applyFill="1" applyBorder="1" applyAlignment="1">
      <alignment horizontal="center" vertical="center"/>
    </xf>
    <xf numFmtId="164" fontId="20" fillId="0" borderId="7" xfId="2" applyNumberFormat="1" applyFont="1" applyFill="1" applyBorder="1" applyAlignment="1">
      <alignment horizontal="center" vertical="center"/>
    </xf>
    <xf numFmtId="164" fontId="20" fillId="0" borderId="8" xfId="2" applyNumberFormat="1" applyFont="1" applyFill="1" applyBorder="1" applyAlignment="1">
      <alignment horizontal="center" vertical="center"/>
    </xf>
    <xf numFmtId="164" fontId="20" fillId="0" borderId="9" xfId="2" applyNumberFormat="1" applyFont="1" applyFill="1" applyBorder="1" applyAlignment="1">
      <alignment horizontal="center" vertical="center"/>
    </xf>
    <xf numFmtId="165" fontId="19" fillId="2" borderId="10" xfId="3" applyNumberFormat="1" applyFont="1" applyFill="1" applyBorder="1" applyAlignment="1">
      <alignment horizontal="center" vertical="center"/>
    </xf>
    <xf numFmtId="165" fontId="18" fillId="0" borderId="13" xfId="4" applyNumberFormat="1" applyFont="1" applyFill="1" applyBorder="1" applyAlignment="1">
      <alignment horizontal="center" vertical="center"/>
    </xf>
    <xf numFmtId="165" fontId="20" fillId="2" borderId="10" xfId="3" applyNumberFormat="1" applyFont="1" applyFill="1" applyBorder="1" applyAlignment="1">
      <alignment horizontal="center" vertical="center"/>
    </xf>
    <xf numFmtId="165" fontId="20" fillId="0" borderId="13" xfId="1" applyNumberFormat="1" applyFont="1" applyFill="1" applyBorder="1" applyAlignment="1">
      <alignment horizontal="center" vertical="center"/>
    </xf>
    <xf numFmtId="165" fontId="19" fillId="6" borderId="10" xfId="3" applyNumberFormat="1" applyFont="1" applyFill="1" applyBorder="1" applyAlignment="1">
      <alignment horizontal="center" vertical="center"/>
    </xf>
    <xf numFmtId="165" fontId="20" fillId="6" borderId="13" xfId="1" applyNumberFormat="1" applyFont="1" applyFill="1" applyBorder="1" applyAlignment="1">
      <alignment horizontal="center" vertical="center"/>
    </xf>
    <xf numFmtId="165" fontId="20" fillId="6" borderId="10" xfId="3" applyNumberFormat="1" applyFont="1" applyFill="1" applyBorder="1" applyAlignment="1">
      <alignment horizontal="center" vertical="center"/>
    </xf>
    <xf numFmtId="164" fontId="19" fillId="0" borderId="14" xfId="2" applyNumberFormat="1" applyFont="1" applyFill="1" applyBorder="1" applyAlignment="1">
      <alignment horizontal="center" vertical="center"/>
    </xf>
    <xf numFmtId="164" fontId="20" fillId="0" borderId="15" xfId="2" applyNumberFormat="1" applyFont="1" applyFill="1" applyBorder="1" applyAlignment="1">
      <alignment horizontal="center" vertical="center"/>
    </xf>
    <xf numFmtId="0" fontId="7" fillId="0" borderId="16" xfId="1" applyBorder="1"/>
    <xf numFmtId="164" fontId="20" fillId="0" borderId="17" xfId="2" applyNumberFormat="1" applyFont="1" applyFill="1" applyBorder="1" applyAlignment="1">
      <alignment horizontal="center" vertical="center"/>
    </xf>
    <xf numFmtId="0" fontId="11" fillId="0" borderId="7" xfId="6" applyFont="1" applyFill="1" applyBorder="1" applyAlignment="1">
      <alignment horizontal="center" vertical="center"/>
    </xf>
    <xf numFmtId="0" fontId="11" fillId="0" borderId="11" xfId="6" applyFont="1" applyFill="1" applyBorder="1" applyAlignment="1">
      <alignment horizontal="center" vertical="center"/>
    </xf>
    <xf numFmtId="164" fontId="25" fillId="0" borderId="13" xfId="4" applyNumberFormat="1" applyFont="1" applyFill="1" applyBorder="1" applyAlignment="1">
      <alignment horizontal="center" vertical="center"/>
    </xf>
    <xf numFmtId="0" fontId="6" fillId="0" borderId="0" xfId="5" applyFill="1"/>
    <xf numFmtId="164" fontId="26" fillId="0" borderId="0" xfId="5" applyNumberFormat="1" applyFont="1" applyFill="1" applyBorder="1"/>
    <xf numFmtId="0" fontId="26" fillId="0" borderId="0" xfId="5" applyFont="1" applyFill="1" applyBorder="1"/>
    <xf numFmtId="164" fontId="6" fillId="0" borderId="0" xfId="5" applyNumberFormat="1" applyBorder="1"/>
    <xf numFmtId="2" fontId="18" fillId="0" borderId="0" xfId="4" applyNumberFormat="1" applyFont="1" applyFill="1" applyBorder="1" applyAlignment="1">
      <alignment horizontal="right"/>
    </xf>
    <xf numFmtId="0" fontId="11" fillId="0" borderId="3" xfId="1" applyFont="1" applyFill="1" applyBorder="1" applyAlignment="1">
      <alignment horizontal="center" vertical="center" wrapText="1"/>
    </xf>
    <xf numFmtId="0" fontId="11" fillId="0" borderId="5" xfId="1" applyFont="1" applyFill="1" applyBorder="1" applyAlignment="1">
      <alignment horizontal="center" vertical="center" wrapText="1"/>
    </xf>
    <xf numFmtId="165" fontId="20" fillId="6" borderId="18" xfId="1" applyNumberFormat="1" applyFont="1" applyFill="1" applyBorder="1" applyAlignment="1">
      <alignment horizontal="center" vertical="center"/>
    </xf>
    <xf numFmtId="164" fontId="20" fillId="0" borderId="13" xfId="1" applyNumberFormat="1" applyFont="1" applyFill="1" applyBorder="1" applyAlignment="1">
      <alignment horizontal="center" vertical="center"/>
    </xf>
    <xf numFmtId="164" fontId="20" fillId="0" borderId="18" xfId="1" applyNumberFormat="1" applyFont="1" applyFill="1" applyBorder="1" applyAlignment="1">
      <alignment horizontal="center" vertical="center"/>
    </xf>
    <xf numFmtId="164" fontId="19" fillId="0" borderId="19" xfId="7" applyNumberFormat="1" applyFont="1" applyFill="1" applyBorder="1" applyAlignment="1">
      <alignment horizontal="center" vertical="center"/>
    </xf>
    <xf numFmtId="164" fontId="12" fillId="0" borderId="19" xfId="7" applyNumberFormat="1" applyFont="1" applyFill="1" applyBorder="1" applyAlignment="1">
      <alignment horizontal="center" vertical="center"/>
    </xf>
    <xf numFmtId="164" fontId="20" fillId="0" borderId="13" xfId="2" applyNumberFormat="1" applyFont="1" applyFill="1" applyBorder="1" applyAlignment="1">
      <alignment horizontal="center" vertical="center"/>
    </xf>
    <xf numFmtId="164" fontId="14" fillId="0" borderId="0" xfId="4" applyNumberFormat="1"/>
    <xf numFmtId="0" fontId="11" fillId="0" borderId="20" xfId="1" applyFont="1" applyFill="1" applyBorder="1" applyAlignment="1">
      <alignment horizontal="center" vertical="center" wrapText="1"/>
    </xf>
    <xf numFmtId="0" fontId="11" fillId="0" borderId="21" xfId="1" applyFont="1" applyFill="1" applyBorder="1" applyAlignment="1">
      <alignment horizontal="center" vertical="center" wrapText="1"/>
    </xf>
    <xf numFmtId="164" fontId="25" fillId="0" borderId="18" xfId="4" applyNumberFormat="1" applyFont="1" applyFill="1" applyBorder="1" applyAlignment="1">
      <alignment horizontal="center" vertical="center"/>
    </xf>
    <xf numFmtId="0" fontId="8" fillId="0" borderId="0" xfId="9" applyFont="1"/>
    <xf numFmtId="0" fontId="10" fillId="0" borderId="0" xfId="9" applyFont="1" applyFill="1" applyBorder="1"/>
    <xf numFmtId="0" fontId="4" fillId="0" borderId="0" xfId="9"/>
    <xf numFmtId="165" fontId="4" fillId="0" borderId="0" xfId="9" applyNumberFormat="1"/>
    <xf numFmtId="164" fontId="4" fillId="0" borderId="0" xfId="9" applyNumberFormat="1"/>
    <xf numFmtId="0" fontId="4" fillId="0" borderId="0" xfId="9" applyFill="1"/>
    <xf numFmtId="0" fontId="4" fillId="3" borderId="0" xfId="9" applyFill="1"/>
    <xf numFmtId="0" fontId="15" fillId="0" borderId="0" xfId="9" applyFont="1" applyFill="1"/>
    <xf numFmtId="0" fontId="15" fillId="3" borderId="0" xfId="9" applyFont="1" applyFill="1"/>
    <xf numFmtId="164" fontId="4" fillId="0" borderId="0" xfId="11" applyNumberFormat="1" applyBorder="1"/>
    <xf numFmtId="0" fontId="0" fillId="0" borderId="0" xfId="0" applyFill="1"/>
    <xf numFmtId="164" fontId="4" fillId="0" borderId="0" xfId="9" applyNumberFormat="1" applyFill="1" applyAlignment="1">
      <alignment horizontal="right"/>
    </xf>
    <xf numFmtId="164" fontId="4" fillId="0" borderId="0" xfId="9" applyNumberFormat="1" applyFill="1"/>
    <xf numFmtId="164" fontId="11" fillId="7" borderId="0" xfId="5" applyNumberFormat="1" applyFont="1" applyFill="1" applyBorder="1" applyAlignment="1"/>
    <xf numFmtId="164" fontId="11" fillId="9" borderId="0" xfId="5" applyNumberFormat="1" applyFont="1" applyFill="1" applyBorder="1" applyAlignment="1"/>
    <xf numFmtId="164" fontId="11" fillId="8" borderId="0" xfId="5" applyNumberFormat="1" applyFont="1" applyFill="1" applyBorder="1" applyAlignment="1"/>
    <xf numFmtId="0" fontId="16" fillId="0" borderId="0" xfId="11" applyFont="1" applyBorder="1" applyAlignment="1">
      <alignment horizontal="left"/>
    </xf>
    <xf numFmtId="0" fontId="11" fillId="0" borderId="5" xfId="1" applyFont="1" applyFill="1" applyBorder="1" applyAlignment="1">
      <alignment horizontal="center" vertical="center" wrapText="1"/>
    </xf>
    <xf numFmtId="0" fontId="16" fillId="0" borderId="0" xfId="11" applyFont="1" applyBorder="1" applyAlignment="1"/>
    <xf numFmtId="164" fontId="11" fillId="0" borderId="5" xfId="1" applyNumberFormat="1" applyFont="1" applyFill="1" applyBorder="1" applyAlignment="1">
      <alignment horizontal="center" vertical="center" wrapText="1"/>
    </xf>
    <xf numFmtId="164" fontId="13" fillId="6" borderId="5" xfId="8" applyNumberFormat="1" applyFont="1" applyFill="1" applyBorder="1" applyAlignment="1">
      <alignment horizontal="center" vertical="center"/>
    </xf>
    <xf numFmtId="164" fontId="24" fillId="6" borderId="5" xfId="10" applyNumberFormat="1" applyFont="1" applyFill="1" applyBorder="1" applyAlignment="1">
      <alignment horizontal="center" vertical="center"/>
    </xf>
    <xf numFmtId="164" fontId="24" fillId="10" borderId="5" xfId="10" applyNumberFormat="1" applyFont="1" applyFill="1" applyBorder="1" applyAlignment="1">
      <alignment horizontal="center" vertical="center"/>
    </xf>
    <xf numFmtId="0" fontId="19" fillId="0" borderId="5" xfId="0" applyFont="1" applyFill="1" applyBorder="1" applyAlignment="1">
      <alignment vertical="center"/>
    </xf>
    <xf numFmtId="0" fontId="19" fillId="10" borderId="5" xfId="0" applyFont="1" applyFill="1" applyBorder="1" applyAlignment="1">
      <alignment vertical="center"/>
    </xf>
    <xf numFmtId="0" fontId="20" fillId="0" borderId="5" xfId="0" applyFont="1" applyFill="1" applyBorder="1" applyAlignment="1">
      <alignment vertical="center"/>
    </xf>
    <xf numFmtId="164" fontId="19" fillId="6" borderId="5" xfId="8" applyNumberFormat="1" applyFont="1" applyFill="1" applyBorder="1" applyAlignment="1">
      <alignment horizontal="center" vertical="center"/>
    </xf>
    <xf numFmtId="164" fontId="19" fillId="10" borderId="5" xfId="8" applyNumberFormat="1" applyFont="1" applyFill="1" applyBorder="1" applyAlignment="1">
      <alignment horizontal="center" vertical="center"/>
    </xf>
    <xf numFmtId="164" fontId="23" fillId="6" borderId="5" xfId="8" applyNumberFormat="1" applyFont="1" applyFill="1" applyBorder="1" applyAlignment="1">
      <alignment horizontal="center" vertical="center"/>
    </xf>
    <xf numFmtId="164" fontId="23" fillId="10" borderId="5" xfId="8" applyNumberFormat="1" applyFont="1" applyFill="1" applyBorder="1" applyAlignment="1">
      <alignment horizontal="center" vertical="center"/>
    </xf>
    <xf numFmtId="164" fontId="13" fillId="7" borderId="5" xfId="8" applyNumberFormat="1" applyFont="1" applyFill="1" applyBorder="1" applyAlignment="1">
      <alignment horizontal="center" vertical="center"/>
    </xf>
    <xf numFmtId="0" fontId="0" fillId="0" borderId="0" xfId="0" applyBorder="1"/>
    <xf numFmtId="0" fontId="4" fillId="0" borderId="0" xfId="9" applyBorder="1"/>
    <xf numFmtId="0" fontId="31" fillId="0" borderId="0" xfId="9" applyFont="1" applyFill="1" applyBorder="1"/>
    <xf numFmtId="0" fontId="20" fillId="0" borderId="5" xfId="1" applyFont="1" applyFill="1" applyBorder="1" applyAlignment="1">
      <alignment horizontal="center" vertical="center" wrapText="1"/>
    </xf>
    <xf numFmtId="164" fontId="20" fillId="0" borderId="5" xfId="1" applyNumberFormat="1" applyFont="1" applyFill="1" applyBorder="1" applyAlignment="1">
      <alignment horizontal="center" vertical="center" wrapText="1"/>
    </xf>
    <xf numFmtId="164" fontId="28" fillId="11" borderId="5" xfId="12" applyNumberFormat="1" applyFont="1" applyFill="1" applyBorder="1" applyAlignment="1">
      <alignment horizontal="center" vertical="center"/>
    </xf>
    <xf numFmtId="165" fontId="28" fillId="11" borderId="5" xfId="0" applyNumberFormat="1" applyFont="1" applyFill="1" applyBorder="1" applyAlignment="1">
      <alignment horizontal="center" vertical="center"/>
    </xf>
    <xf numFmtId="164" fontId="28" fillId="11" borderId="5" xfId="0" applyNumberFormat="1" applyFont="1" applyFill="1" applyBorder="1" applyAlignment="1">
      <alignment horizontal="center" vertical="center"/>
    </xf>
    <xf numFmtId="164" fontId="29" fillId="0" borderId="5" xfId="12" applyNumberFormat="1" applyFont="1" applyFill="1" applyBorder="1" applyAlignment="1">
      <alignment horizontal="center" vertical="center"/>
    </xf>
    <xf numFmtId="164" fontId="29" fillId="0" borderId="5" xfId="0" applyNumberFormat="1" applyFont="1" applyFill="1" applyBorder="1" applyAlignment="1">
      <alignment horizontal="center" vertical="center"/>
    </xf>
    <xf numFmtId="165" fontId="29" fillId="0" borderId="5" xfId="12" applyNumberFormat="1" applyFont="1" applyFill="1" applyBorder="1" applyAlignment="1">
      <alignment horizontal="center" vertical="center"/>
    </xf>
    <xf numFmtId="0" fontId="20" fillId="0" borderId="5" xfId="1" applyFont="1" applyFill="1" applyBorder="1" applyAlignment="1">
      <alignment horizontal="center" vertical="center" wrapText="1"/>
    </xf>
    <xf numFmtId="164" fontId="20" fillId="0" borderId="5" xfId="1" applyNumberFormat="1" applyFont="1" applyFill="1" applyBorder="1" applyAlignment="1">
      <alignment horizontal="center" vertical="center" wrapText="1"/>
    </xf>
    <xf numFmtId="4" fontId="28" fillId="11" borderId="5" xfId="12" applyNumberFormat="1" applyFont="1" applyFill="1" applyBorder="1" applyAlignment="1">
      <alignment horizontal="center" vertical="center"/>
    </xf>
    <xf numFmtId="0" fontId="29" fillId="0" borderId="1" xfId="12" applyFont="1" applyFill="1" applyBorder="1" applyAlignment="1">
      <alignment vertical="center"/>
    </xf>
    <xf numFmtId="0" fontId="28" fillId="11" borderId="1" xfId="12" applyFont="1" applyFill="1" applyBorder="1" applyAlignment="1">
      <alignment vertical="center" wrapText="1"/>
    </xf>
    <xf numFmtId="0" fontId="16" fillId="0" borderId="0" xfId="5" applyFont="1" applyBorder="1" applyAlignment="1">
      <alignment horizontal="left"/>
    </xf>
    <xf numFmtId="0" fontId="12" fillId="0" borderId="7" xfId="1" applyFont="1" applyFill="1" applyBorder="1" applyAlignment="1">
      <alignment horizontal="left" vertical="center"/>
    </xf>
    <xf numFmtId="0" fontId="12" fillId="0" borderId="11" xfId="1" applyFont="1" applyFill="1" applyBorder="1" applyAlignment="1">
      <alignment horizontal="left" vertical="center"/>
    </xf>
    <xf numFmtId="0" fontId="13" fillId="0" borderId="7" xfId="1" applyFont="1" applyFill="1" applyBorder="1" applyAlignment="1">
      <alignment horizontal="left" vertical="center"/>
    </xf>
    <xf numFmtId="0" fontId="9" fillId="0" borderId="0" xfId="1" applyFont="1" applyBorder="1" applyAlignment="1">
      <alignment horizontal="center" vertical="center"/>
    </xf>
    <xf numFmtId="0" fontId="22" fillId="0" borderId="0" xfId="1" applyFont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 wrapText="1"/>
    </xf>
    <xf numFmtId="0" fontId="11" fillId="0" borderId="6" xfId="1" applyFont="1" applyFill="1" applyBorder="1" applyAlignment="1">
      <alignment horizontal="center" vertical="center" wrapText="1"/>
    </xf>
    <xf numFmtId="164" fontId="11" fillId="0" borderId="1" xfId="1" applyNumberFormat="1" applyFont="1" applyFill="1" applyBorder="1" applyAlignment="1">
      <alignment horizontal="center" vertical="center" textRotation="90" wrapText="1"/>
    </xf>
    <xf numFmtId="164" fontId="11" fillId="0" borderId="6" xfId="1" applyNumberFormat="1" applyFont="1" applyFill="1" applyBorder="1" applyAlignment="1">
      <alignment horizontal="center" vertical="center" textRotation="90" wrapText="1"/>
    </xf>
    <xf numFmtId="165" fontId="11" fillId="0" borderId="1" xfId="1" applyNumberFormat="1" applyFont="1" applyFill="1" applyBorder="1" applyAlignment="1">
      <alignment horizontal="center" vertical="center" textRotation="90" wrapText="1"/>
    </xf>
    <xf numFmtId="165" fontId="11" fillId="0" borderId="6" xfId="1" applyNumberFormat="1" applyFont="1" applyFill="1" applyBorder="1" applyAlignment="1">
      <alignment horizontal="center" vertical="center" textRotation="90" wrapText="1"/>
    </xf>
    <xf numFmtId="164" fontId="11" fillId="0" borderId="2" xfId="1" applyNumberFormat="1" applyFont="1" applyFill="1" applyBorder="1" applyAlignment="1">
      <alignment horizontal="center" vertical="center" wrapText="1"/>
    </xf>
    <xf numFmtId="0" fontId="11" fillId="0" borderId="3" xfId="1" applyFont="1" applyFill="1" applyBorder="1" applyAlignment="1">
      <alignment horizontal="center" vertical="center" wrapText="1"/>
    </xf>
    <xf numFmtId="0" fontId="11" fillId="0" borderId="5" xfId="1" applyFont="1" applyFill="1" applyBorder="1" applyAlignment="1">
      <alignment horizontal="center" vertical="center" wrapText="1"/>
    </xf>
    <xf numFmtId="0" fontId="11" fillId="0" borderId="4" xfId="1" applyFont="1" applyFill="1" applyBorder="1" applyAlignment="1">
      <alignment horizontal="center" vertical="center" wrapText="1"/>
    </xf>
    <xf numFmtId="0" fontId="13" fillId="0" borderId="11" xfId="1" applyFont="1" applyFill="1" applyBorder="1" applyAlignment="1">
      <alignment horizontal="left" vertical="center"/>
    </xf>
    <xf numFmtId="0" fontId="24" fillId="0" borderId="0" xfId="1" applyFont="1" applyBorder="1" applyAlignment="1">
      <alignment horizontal="center" vertical="center"/>
    </xf>
    <xf numFmtId="0" fontId="19" fillId="0" borderId="0" xfId="11" applyFont="1" applyBorder="1" applyAlignment="1">
      <alignment horizontal="center" vertical="center"/>
    </xf>
    <xf numFmtId="0" fontId="30" fillId="0" borderId="0" xfId="11" applyFont="1" applyBorder="1" applyAlignment="1">
      <alignment horizontal="center" vertical="center"/>
    </xf>
    <xf numFmtId="0" fontId="20" fillId="0" borderId="5" xfId="1" applyFont="1" applyFill="1" applyBorder="1" applyAlignment="1">
      <alignment horizontal="center" vertical="center" wrapText="1"/>
    </xf>
    <xf numFmtId="164" fontId="20" fillId="0" borderId="5" xfId="1" applyNumberFormat="1" applyFont="1" applyFill="1" applyBorder="1" applyAlignment="1">
      <alignment horizontal="center" vertical="center" wrapText="1"/>
    </xf>
    <xf numFmtId="0" fontId="23" fillId="0" borderId="0" xfId="11" applyFont="1" applyBorder="1" applyAlignment="1">
      <alignment horizontal="center" vertical="center"/>
    </xf>
    <xf numFmtId="0" fontId="9" fillId="0" borderId="0" xfId="11" applyFont="1" applyBorder="1" applyAlignment="1">
      <alignment horizontal="center" vertical="center"/>
    </xf>
  </cellXfs>
  <cellStyles count="15">
    <cellStyle name="Обычный" xfId="0" builtinId="0"/>
    <cellStyle name="Обычный 2" xfId="14" xr:uid="{00000000-0005-0000-0000-000001000000}"/>
    <cellStyle name="Обычный 3" xfId="1" xr:uid="{00000000-0005-0000-0000-000002000000}"/>
    <cellStyle name="Обычный 3 2" xfId="5" xr:uid="{00000000-0005-0000-0000-000003000000}"/>
    <cellStyle name="Обычный 3 2 2" xfId="11" xr:uid="{00000000-0005-0000-0000-000004000000}"/>
    <cellStyle name="Обычный 3 3" xfId="6" xr:uid="{00000000-0005-0000-0000-000005000000}"/>
    <cellStyle name="Обычный 3 3 2" xfId="9" xr:uid="{00000000-0005-0000-0000-000006000000}"/>
    <cellStyle name="Обычный 3 3 6" xfId="13" xr:uid="{00000000-0005-0000-0000-000007000000}"/>
    <cellStyle name="Обычный 8" xfId="12" xr:uid="{00000000-0005-0000-0000-000008000000}"/>
    <cellStyle name="Обычный_Форма Отчета по мягкой пшенице" xfId="4" xr:uid="{00000000-0005-0000-0000-000009000000}"/>
    <cellStyle name="Процентный 2" xfId="3" xr:uid="{00000000-0005-0000-0000-00000A000000}"/>
    <cellStyle name="Финансовый 2" xfId="2" xr:uid="{00000000-0005-0000-0000-00000B000000}"/>
    <cellStyle name="Финансовый 2 2" xfId="7" xr:uid="{00000000-0005-0000-0000-00000C000000}"/>
    <cellStyle name="Финансовый 2 2 2" xfId="10" xr:uid="{00000000-0005-0000-0000-00000D000000}"/>
    <cellStyle name="Финансовый 2 3" xfId="8" xr:uid="{00000000-0005-0000-0000-00000E000000}"/>
  </cellStyles>
  <dxfs count="159"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B9C115"/>
      <color rgb="FF7B800E"/>
      <color rgb="FFCC4A16"/>
      <color rgb="FFF699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Качество мягкой пшеницы урожая 2020 г.</a:t>
            </a:r>
          </a:p>
          <a:p>
            <a:pPr algn="l">
              <a:defRPr/>
            </a:pPr>
            <a:r>
              <a:rPr lang="ru-RU" sz="1000" b="0"/>
              <a:t>по данным ФГБУ "Центр оценки качества зерна"</a:t>
            </a:r>
          </a:p>
        </c:rich>
      </c:tx>
      <c:layout>
        <c:manualLayout>
          <c:xMode val="edge"/>
          <c:yMode val="edge"/>
          <c:x val="2.01174112256587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2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725085910652928E-3"/>
          <c:y val="0.21014588833707457"/>
          <c:w val="0.99102749140893476"/>
          <c:h val="0.639977203735795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'Пшеница мягкая (Л) (3)'!$A$6</c:f>
              <c:strCache>
                <c:ptCount val="1"/>
                <c:pt idx="0">
                  <c:v>2019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'Пшеница мягкая (Л) (3)'!$B$5:$E$5</c:f>
              <c:strCache>
                <c:ptCount val="4"/>
                <c:pt idx="0">
                  <c:v>2 кл</c:v>
                </c:pt>
                <c:pt idx="1">
                  <c:v>3 кл</c:v>
                </c:pt>
                <c:pt idx="2">
                  <c:v>4 кл</c:v>
                </c:pt>
                <c:pt idx="3">
                  <c:v>5 кл</c:v>
                </c:pt>
              </c:strCache>
            </c:strRef>
          </c:cat>
          <c:val>
            <c:numRef>
              <c:f>'Пшеница мягкая (Л) (3)'!$B$6:$E$6</c:f>
              <c:numCache>
                <c:formatCode>#\ ##0.0</c:formatCode>
                <c:ptCount val="4"/>
                <c:pt idx="0" formatCode="0.0">
                  <c:v>0.15084097120598888</c:v>
                </c:pt>
                <c:pt idx="1">
                  <c:v>36.407868875510104</c:v>
                </c:pt>
                <c:pt idx="2">
                  <c:v>45.17290234487141</c:v>
                </c:pt>
                <c:pt idx="3">
                  <c:v>18.2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1-44EC-9D19-B95BF82AF9DE}"/>
            </c:ext>
          </c:extLst>
        </c:ser>
        <c:ser>
          <c:idx val="1"/>
          <c:order val="1"/>
          <c:tx>
            <c:strRef>
              <c:f>'Пшеница мягкая (Л) (3)'!$A$7</c:f>
              <c:strCache>
                <c:ptCount val="1"/>
                <c:pt idx="0">
                  <c:v>2020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'Пшеница мягкая (Л) (3)'!$B$5:$E$5</c:f>
              <c:strCache>
                <c:ptCount val="4"/>
                <c:pt idx="0">
                  <c:v>2 кл</c:v>
                </c:pt>
                <c:pt idx="1">
                  <c:v>3 кл</c:v>
                </c:pt>
                <c:pt idx="2">
                  <c:v>4 кл</c:v>
                </c:pt>
                <c:pt idx="3">
                  <c:v>5 кл</c:v>
                </c:pt>
              </c:strCache>
            </c:strRef>
          </c:cat>
          <c:val>
            <c:numRef>
              <c:f>'Пшеница мягкая (Л) (3)'!$B$7:$E$7</c:f>
              <c:numCache>
                <c:formatCode>#\ ##0.0</c:formatCode>
                <c:ptCount val="4"/>
                <c:pt idx="0">
                  <c:v>0</c:v>
                </c:pt>
                <c:pt idx="1">
                  <c:v>32.74</c:v>
                </c:pt>
                <c:pt idx="2">
                  <c:v>46.61</c:v>
                </c:pt>
                <c:pt idx="3">
                  <c:v>20.65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1-44EC-9D19-B95BF82AF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"/>
        <c:axId val="495180344"/>
        <c:axId val="495186576"/>
      </c:barChart>
      <c:catAx>
        <c:axId val="495180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495186576"/>
        <c:crosses val="autoZero"/>
        <c:auto val="1"/>
        <c:lblAlgn val="ctr"/>
        <c:lblOffset val="100"/>
        <c:noMultiLvlLbl val="0"/>
      </c:catAx>
      <c:valAx>
        <c:axId val="495186576"/>
        <c:scaling>
          <c:orientation val="minMax"/>
          <c:max val="6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495180344"/>
        <c:crosses val="autoZero"/>
        <c:crossBetween val="between"/>
        <c:majorUnit val="23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346631384661205"/>
          <c:y val="6.037878787878764E-3"/>
          <c:w val="0.16533686153387947"/>
          <c:h val="0.23068340799927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590550</xdr:colOff>
          <xdr:row>0</xdr:row>
          <xdr:rowOff>209550</xdr:rowOff>
        </xdr:from>
        <xdr:to>
          <xdr:col>19</xdr:col>
          <xdr:colOff>257175</xdr:colOff>
          <xdr:row>2</xdr:row>
          <xdr:rowOff>180975</xdr:rowOff>
        </xdr:to>
        <xdr:sp macro="" textlink="">
          <xdr:nvSpPr>
            <xdr:cNvPr id="20481" name="CommandButton1" hidden="1">
              <a:extLst>
                <a:ext uri="{63B3BB69-23CF-44E3-9099-C40C66FF867C}">
                  <a14:compatExt spid="_x0000_s20481"/>
                </a:ext>
                <a:ext uri="{FF2B5EF4-FFF2-40B4-BE49-F238E27FC236}">
                  <a16:creationId xmlns:a16="http://schemas.microsoft.com/office/drawing/2014/main" id="{00000000-0008-0000-0000-00000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0</xdr:row>
          <xdr:rowOff>209550</xdr:rowOff>
        </xdr:from>
        <xdr:to>
          <xdr:col>8</xdr:col>
          <xdr:colOff>257175</xdr:colOff>
          <xdr:row>3</xdr:row>
          <xdr:rowOff>76200</xdr:rowOff>
        </xdr:to>
        <xdr:sp macro="" textlink="">
          <xdr:nvSpPr>
            <xdr:cNvPr id="24577" name="CommandButton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1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0</xdr:colOff>
      <xdr:row>5</xdr:row>
      <xdr:rowOff>0</xdr:rowOff>
    </xdr:from>
    <xdr:to>
      <xdr:col>18</xdr:col>
      <xdr:colOff>316230</xdr:colOff>
      <xdr:row>18</xdr:row>
      <xdr:rowOff>102870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0</xdr:colOff>
          <xdr:row>0</xdr:row>
          <xdr:rowOff>209550</xdr:rowOff>
        </xdr:from>
        <xdr:to>
          <xdr:col>17</xdr:col>
          <xdr:colOff>85725</xdr:colOff>
          <xdr:row>3</xdr:row>
          <xdr:rowOff>76200</xdr:rowOff>
        </xdr:to>
        <xdr:sp macro="" textlink="">
          <xdr:nvSpPr>
            <xdr:cNvPr id="51201" name="CommandButton1" hidden="1">
              <a:extLst>
                <a:ext uri="{63B3BB69-23CF-44E3-9099-C40C66FF867C}">
                  <a14:compatExt spid="_x0000_s51201"/>
                </a:ext>
                <a:ext uri="{FF2B5EF4-FFF2-40B4-BE49-F238E27FC236}">
                  <a16:creationId xmlns:a16="http://schemas.microsoft.com/office/drawing/2014/main" id="{00000000-0008-0000-0300-000001C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Другая 254">
    <a:dk1>
      <a:sysClr val="windowText" lastClr="000000"/>
    </a:dk1>
    <a:lt1>
      <a:sysClr val="window" lastClr="FFFFFF"/>
    </a:lt1>
    <a:dk2>
      <a:srgbClr val="455F51"/>
    </a:dk2>
    <a:lt2>
      <a:srgbClr val="E3DED1"/>
    </a:lt2>
    <a:accent1>
      <a:srgbClr val="8C9210"/>
    </a:accent1>
    <a:accent2>
      <a:srgbClr val="F79F29"/>
    </a:accent2>
    <a:accent3>
      <a:srgbClr val="20827D"/>
    </a:accent3>
    <a:accent4>
      <a:srgbClr val="DE5118"/>
    </a:accent4>
    <a:accent5>
      <a:srgbClr val="7F5761"/>
    </a:accent5>
    <a:accent6>
      <a:srgbClr val="B1B371"/>
    </a:accent6>
    <a:hlink>
      <a:srgbClr val="92D050"/>
    </a:hlink>
    <a:folHlink>
      <a:srgbClr val="BA6906"/>
    </a:folHlink>
  </a:clrScheme>
  <a:fontScheme name="Стандартная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Стандартная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control" Target="../activeX/activeX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3.emf"/><Relationship Id="rId4" Type="http://schemas.openxmlformats.org/officeDocument/2006/relationships/control" Target="../activeX/activeX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>
    <tabColor rgb="FF92D050"/>
  </sheetPr>
  <dimension ref="A1:ER990"/>
  <sheetViews>
    <sheetView view="pageBreakPreview" zoomScale="80" zoomScaleNormal="50" zoomScaleSheetLayoutView="80" workbookViewId="0">
      <selection activeCell="G6" sqref="G6"/>
    </sheetView>
  </sheetViews>
  <sheetFormatPr defaultRowHeight="15" x14ac:dyDescent="0.25"/>
  <cols>
    <col min="1" max="1" width="37.85546875" style="8" customWidth="1"/>
    <col min="2" max="2" width="6.42578125" style="8" customWidth="1"/>
    <col min="3" max="3" width="13.7109375" style="25" customWidth="1"/>
    <col min="4" max="4" width="13.7109375" style="11" customWidth="1"/>
    <col min="5" max="5" width="13.7109375" style="12" customWidth="1"/>
    <col min="6" max="8" width="13.7109375" style="8" customWidth="1"/>
    <col min="9" max="9" width="13.7109375" style="12" customWidth="1"/>
    <col min="10" max="10" width="13.7109375" style="8" customWidth="1"/>
    <col min="11" max="11" width="13.7109375" style="12" customWidth="1"/>
    <col min="12" max="12" width="13.7109375" style="8" customWidth="1"/>
    <col min="13" max="13" width="13.7109375" style="12" customWidth="1"/>
    <col min="14" max="14" width="13.7109375" style="8" customWidth="1"/>
    <col min="15" max="15" width="13.7109375" style="12" customWidth="1"/>
    <col min="16" max="16" width="13.7109375" style="8" customWidth="1"/>
    <col min="17" max="17" width="11.85546875" style="8" customWidth="1"/>
    <col min="18" max="18" width="9.140625" style="8"/>
    <col min="19" max="19" width="8.85546875" style="8" customWidth="1"/>
    <col min="20" max="16384" width="9.140625" style="8"/>
  </cols>
  <sheetData>
    <row r="1" spans="1:148" s="1" customFormat="1" ht="23.25" x14ac:dyDescent="0.35">
      <c r="A1" s="122" t="s">
        <v>22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</row>
    <row r="2" spans="1:148" s="1" customFormat="1" ht="27" x14ac:dyDescent="0.35">
      <c r="A2" s="123" t="s">
        <v>21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</row>
    <row r="3" spans="1:148" x14ac:dyDescent="0.25">
      <c r="A3" s="2"/>
      <c r="B3" s="2"/>
      <c r="C3" s="3"/>
      <c r="D3" s="4"/>
      <c r="E3" s="5"/>
      <c r="F3" s="2"/>
      <c r="G3" s="2"/>
      <c r="H3" s="2"/>
      <c r="I3" s="5"/>
      <c r="J3" s="2"/>
      <c r="K3" s="5"/>
      <c r="L3" s="2"/>
      <c r="M3" s="5"/>
      <c r="N3" s="2"/>
      <c r="O3" s="6"/>
      <c r="P3" s="7"/>
    </row>
    <row r="4" spans="1:148" ht="30" customHeight="1" x14ac:dyDescent="0.25">
      <c r="A4" s="124" t="s">
        <v>0</v>
      </c>
      <c r="B4" s="124" t="s">
        <v>1</v>
      </c>
      <c r="C4" s="126" t="s">
        <v>2</v>
      </c>
      <c r="D4" s="128" t="s">
        <v>3</v>
      </c>
      <c r="E4" s="130" t="s">
        <v>4</v>
      </c>
      <c r="F4" s="131" t="s">
        <v>5</v>
      </c>
      <c r="G4" s="132" t="s">
        <v>6</v>
      </c>
      <c r="H4" s="132"/>
      <c r="I4" s="132" t="s">
        <v>7</v>
      </c>
      <c r="J4" s="132"/>
      <c r="K4" s="132" t="s">
        <v>8</v>
      </c>
      <c r="L4" s="132"/>
      <c r="M4" s="133" t="s">
        <v>9</v>
      </c>
      <c r="N4" s="131"/>
      <c r="O4" s="132" t="s">
        <v>10</v>
      </c>
      <c r="P4" s="132"/>
    </row>
    <row r="5" spans="1:148" ht="79.5" customHeight="1" x14ac:dyDescent="0.25">
      <c r="A5" s="125"/>
      <c r="B5" s="125"/>
      <c r="C5" s="127"/>
      <c r="D5" s="129"/>
      <c r="E5" s="130"/>
      <c r="F5" s="131"/>
      <c r="G5" s="28" t="s">
        <v>11</v>
      </c>
      <c r="H5" s="29" t="s">
        <v>12</v>
      </c>
      <c r="I5" s="28" t="s">
        <v>11</v>
      </c>
      <c r="J5" s="29" t="s">
        <v>12</v>
      </c>
      <c r="K5" s="28" t="s">
        <v>11</v>
      </c>
      <c r="L5" s="29" t="s">
        <v>12</v>
      </c>
      <c r="M5" s="28" t="s">
        <v>11</v>
      </c>
      <c r="N5" s="29" t="s">
        <v>12</v>
      </c>
      <c r="O5" s="28" t="s">
        <v>11</v>
      </c>
      <c r="P5" s="29" t="s">
        <v>12</v>
      </c>
    </row>
    <row r="6" spans="1:148" s="14" customFormat="1" ht="15" customHeight="1" x14ac:dyDescent="0.25">
      <c r="A6" s="121" t="s">
        <v>13</v>
      </c>
      <c r="B6" s="9">
        <v>2019</v>
      </c>
      <c r="C6" s="31">
        <v>15163.212299999999</v>
      </c>
      <c r="D6" s="32">
        <v>44.987861312869697</v>
      </c>
      <c r="E6" s="33">
        <v>3055.7089999999998</v>
      </c>
      <c r="F6" s="40">
        <v>20.152121724233854</v>
      </c>
      <c r="G6" s="26">
        <f>H6-H7</f>
        <v>0.11290342110456199</v>
      </c>
      <c r="H6" s="40">
        <v>0.11290342110456199</v>
      </c>
      <c r="I6" s="26">
        <f>J6-J7</f>
        <v>16.615597509448705</v>
      </c>
      <c r="J6" s="40">
        <v>35.965597509448706</v>
      </c>
      <c r="K6" s="26">
        <f>L6-L7</f>
        <v>-9.5204831186477463</v>
      </c>
      <c r="L6" s="40">
        <v>45.029516881352251</v>
      </c>
      <c r="M6" s="26">
        <f>N6-N7</f>
        <v>-7.1080178119055226</v>
      </c>
      <c r="N6" s="40">
        <v>18.891982188094477</v>
      </c>
      <c r="O6" s="33"/>
      <c r="P6" s="47"/>
      <c r="Q6" s="19"/>
      <c r="R6" s="10"/>
      <c r="S6" s="11"/>
      <c r="T6" s="12"/>
      <c r="U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</row>
    <row r="7" spans="1:148" s="17" customFormat="1" ht="15" customHeight="1" x14ac:dyDescent="0.25">
      <c r="A7" s="134"/>
      <c r="B7" s="15">
        <v>2018</v>
      </c>
      <c r="C7" s="34">
        <v>11228.41222</v>
      </c>
      <c r="D7" s="35">
        <v>41.3463384302555</v>
      </c>
      <c r="E7" s="36">
        <v>2268.511</v>
      </c>
      <c r="F7" s="41">
        <v>20.2</v>
      </c>
      <c r="G7" s="26">
        <f t="shared" ref="G7:G19" si="0">H7-H8</f>
        <v>0</v>
      </c>
      <c r="H7" s="43">
        <v>0</v>
      </c>
      <c r="I7" s="26">
        <f t="shared" ref="I7:I19" si="1">J7-J8</f>
        <v>-12.736781672918632</v>
      </c>
      <c r="J7" s="43">
        <v>19.350000000000001</v>
      </c>
      <c r="K7" s="26">
        <f t="shared" ref="K7:K19" si="2">L7-L8</f>
        <v>6.6099999999999994</v>
      </c>
      <c r="L7" s="43">
        <v>54.55</v>
      </c>
      <c r="M7" s="26">
        <f t="shared" ref="M7:M19" si="3">N7-N8</f>
        <v>6.0300000000000011</v>
      </c>
      <c r="N7" s="43">
        <v>26</v>
      </c>
      <c r="O7" s="36"/>
      <c r="P7" s="48"/>
      <c r="Q7" s="19"/>
      <c r="R7" s="8"/>
      <c r="S7" s="11"/>
      <c r="T7" s="12"/>
      <c r="U7" s="8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</row>
    <row r="8" spans="1:148" s="14" customFormat="1" ht="15" customHeight="1" x14ac:dyDescent="0.25">
      <c r="A8" s="121" t="s">
        <v>14</v>
      </c>
      <c r="B8" s="9">
        <v>2019</v>
      </c>
      <c r="C8" s="31">
        <v>12465.995299999999</v>
      </c>
      <c r="D8" s="32">
        <v>46.564706398533623</v>
      </c>
      <c r="E8" s="33">
        <v>1605.3620000000001</v>
      </c>
      <c r="F8" s="40">
        <v>12.877928808460245</v>
      </c>
      <c r="G8" s="26">
        <f t="shared" si="0"/>
        <v>0</v>
      </c>
      <c r="H8" s="44"/>
      <c r="I8" s="26">
        <f t="shared" si="1"/>
        <v>16.376781672918632</v>
      </c>
      <c r="J8" s="40">
        <v>32.086781672918633</v>
      </c>
      <c r="K8" s="26">
        <f t="shared" si="2"/>
        <v>-14.21</v>
      </c>
      <c r="L8" s="40">
        <v>47.94</v>
      </c>
      <c r="M8" s="26">
        <f t="shared" si="3"/>
        <v>-2.1700000000000017</v>
      </c>
      <c r="N8" s="40">
        <v>19.97</v>
      </c>
      <c r="O8" s="33"/>
      <c r="P8" s="47"/>
      <c r="Q8" s="19"/>
      <c r="R8" s="8"/>
      <c r="S8" s="8"/>
      <c r="T8" s="8"/>
      <c r="U8" s="8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</row>
    <row r="9" spans="1:148" s="14" customFormat="1" ht="15" customHeight="1" x14ac:dyDescent="0.25">
      <c r="A9" s="120"/>
      <c r="B9" s="15">
        <v>2018</v>
      </c>
      <c r="C9" s="34">
        <v>7028.4122200000002</v>
      </c>
      <c r="D9" s="35">
        <v>45.43753577426574</v>
      </c>
      <c r="E9" s="36">
        <v>851.41100000000006</v>
      </c>
      <c r="F9" s="41">
        <v>12.11</v>
      </c>
      <c r="G9" s="26">
        <f t="shared" si="0"/>
        <v>0</v>
      </c>
      <c r="H9" s="45"/>
      <c r="I9" s="26">
        <f t="shared" si="1"/>
        <v>-11.939999999999998</v>
      </c>
      <c r="J9" s="43">
        <v>15.71</v>
      </c>
      <c r="K9" s="26">
        <f t="shared" si="2"/>
        <v>19.820343932511356</v>
      </c>
      <c r="L9" s="43">
        <v>62.15</v>
      </c>
      <c r="M9" s="26">
        <f t="shared" si="3"/>
        <v>-7.879999999999999</v>
      </c>
      <c r="N9" s="43">
        <v>22.14</v>
      </c>
      <c r="O9" s="36"/>
      <c r="P9" s="48"/>
      <c r="Q9" s="19"/>
      <c r="R9" s="8"/>
      <c r="S9" s="8"/>
      <c r="T9" s="8"/>
      <c r="U9" s="8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</row>
    <row r="10" spans="1:148" ht="15" customHeight="1" x14ac:dyDescent="0.25">
      <c r="A10" s="119" t="s">
        <v>15</v>
      </c>
      <c r="B10" s="9">
        <v>2019</v>
      </c>
      <c r="C10" s="37">
        <v>1160.79</v>
      </c>
      <c r="D10" s="38">
        <v>24</v>
      </c>
      <c r="E10" s="39">
        <v>154.10000000000002</v>
      </c>
      <c r="F10" s="42">
        <v>13.275441725032092</v>
      </c>
      <c r="G10" s="26">
        <f t="shared" si="0"/>
        <v>0</v>
      </c>
      <c r="H10" s="46"/>
      <c r="I10" s="26">
        <f t="shared" si="1"/>
        <v>-4.3900000000000006</v>
      </c>
      <c r="J10" s="42">
        <v>27.65</v>
      </c>
      <c r="K10" s="26">
        <f t="shared" si="2"/>
        <v>9.3396560674886402</v>
      </c>
      <c r="L10" s="42">
        <v>42.329656067488642</v>
      </c>
      <c r="M10" s="26">
        <f t="shared" si="3"/>
        <v>-4.9499999999999993</v>
      </c>
      <c r="N10" s="42">
        <v>30.02</v>
      </c>
      <c r="O10" s="33"/>
      <c r="P10" s="47"/>
      <c r="Q10" s="10"/>
    </row>
    <row r="11" spans="1:148" s="18" customFormat="1" ht="15" customHeight="1" x14ac:dyDescent="0.25">
      <c r="A11" s="120"/>
      <c r="B11" s="15">
        <v>2018</v>
      </c>
      <c r="C11" s="34">
        <v>539.52</v>
      </c>
      <c r="D11" s="35">
        <v>20.6</v>
      </c>
      <c r="E11" s="36">
        <v>15.443999999999999</v>
      </c>
      <c r="F11" s="41">
        <v>2.86</v>
      </c>
      <c r="G11" s="26">
        <f t="shared" si="0"/>
        <v>0</v>
      </c>
      <c r="H11" s="45"/>
      <c r="I11" s="26">
        <f t="shared" si="1"/>
        <v>3.9602227453604613</v>
      </c>
      <c r="J11" s="43">
        <v>32.04</v>
      </c>
      <c r="K11" s="26">
        <f t="shared" si="2"/>
        <v>-18.450555429418152</v>
      </c>
      <c r="L11" s="43">
        <v>32.99</v>
      </c>
      <c r="M11" s="26">
        <f t="shared" si="3"/>
        <v>14.490332684057691</v>
      </c>
      <c r="N11" s="43">
        <v>34.97</v>
      </c>
      <c r="O11" s="36"/>
      <c r="P11" s="48"/>
      <c r="Q11" s="10"/>
      <c r="R11" s="8"/>
      <c r="S11" s="8"/>
      <c r="T11" s="8"/>
      <c r="U11" s="8"/>
    </row>
    <row r="12" spans="1:148" s="19" customFormat="1" ht="15" customHeight="1" x14ac:dyDescent="0.25">
      <c r="A12" s="119" t="s">
        <v>16</v>
      </c>
      <c r="B12" s="9">
        <v>2019</v>
      </c>
      <c r="C12" s="37">
        <v>5787.9359999999997</v>
      </c>
      <c r="D12" s="38">
        <v>62.4</v>
      </c>
      <c r="E12" s="39">
        <v>836.82999999999993</v>
      </c>
      <c r="F12" s="42">
        <v>14.458176455302892</v>
      </c>
      <c r="G12" s="26">
        <f t="shared" si="0"/>
        <v>0</v>
      </c>
      <c r="H12" s="46"/>
      <c r="I12" s="26">
        <f t="shared" si="1"/>
        <v>14.409777254639538</v>
      </c>
      <c r="J12" s="42">
        <v>28.079777254639538</v>
      </c>
      <c r="K12" s="26">
        <f t="shared" si="2"/>
        <v>-20.949444570581846</v>
      </c>
      <c r="L12" s="42">
        <v>51.440555429418154</v>
      </c>
      <c r="M12" s="26">
        <f t="shared" si="3"/>
        <v>6.5396673159423084</v>
      </c>
      <c r="N12" s="42">
        <v>20.479667315942308</v>
      </c>
      <c r="O12" s="33"/>
      <c r="P12" s="47"/>
      <c r="Q12" s="10"/>
      <c r="R12" s="8"/>
      <c r="S12" s="8"/>
      <c r="T12" s="8"/>
      <c r="U12" s="8"/>
    </row>
    <row r="13" spans="1:148" s="19" customFormat="1" ht="15" customHeight="1" x14ac:dyDescent="0.25">
      <c r="A13" s="120"/>
      <c r="B13" s="15">
        <v>2018</v>
      </c>
      <c r="C13" s="34">
        <v>3425.9</v>
      </c>
      <c r="D13" s="35">
        <v>61.2</v>
      </c>
      <c r="E13" s="36">
        <v>466.65500000000003</v>
      </c>
      <c r="F13" s="41">
        <v>13.62</v>
      </c>
      <c r="G13" s="26">
        <f t="shared" si="0"/>
        <v>0</v>
      </c>
      <c r="H13" s="45"/>
      <c r="I13" s="26">
        <f t="shared" si="1"/>
        <v>-24.989933076402259</v>
      </c>
      <c r="J13" s="43">
        <v>13.67</v>
      </c>
      <c r="K13" s="26">
        <f t="shared" si="2"/>
        <v>27.784413051403583</v>
      </c>
      <c r="L13" s="43">
        <v>72.39</v>
      </c>
      <c r="M13" s="26">
        <f t="shared" si="3"/>
        <v>-2.7944799750013001</v>
      </c>
      <c r="N13" s="43">
        <v>13.94</v>
      </c>
      <c r="O13" s="36"/>
      <c r="P13" s="48"/>
      <c r="Q13" s="10"/>
      <c r="R13" s="8"/>
      <c r="S13" s="8"/>
      <c r="T13" s="8"/>
      <c r="U13" s="8"/>
    </row>
    <row r="14" spans="1:148" ht="15" customHeight="1" x14ac:dyDescent="0.25">
      <c r="A14" s="119" t="s">
        <v>17</v>
      </c>
      <c r="B14" s="9">
        <v>2019</v>
      </c>
      <c r="C14" s="37">
        <v>5517.2692999999999</v>
      </c>
      <c r="D14" s="38">
        <v>34.700000000000003</v>
      </c>
      <c r="E14" s="39">
        <v>614.43200000000013</v>
      </c>
      <c r="F14" s="42">
        <v>11.136523642230046</v>
      </c>
      <c r="G14" s="26">
        <f t="shared" si="0"/>
        <v>0</v>
      </c>
      <c r="H14" s="46"/>
      <c r="I14" s="26">
        <f t="shared" si="1"/>
        <v>20.989933076402259</v>
      </c>
      <c r="J14" s="42">
        <v>38.659933076402261</v>
      </c>
      <c r="K14" s="26">
        <f t="shared" si="2"/>
        <v>-6.0144130514035794</v>
      </c>
      <c r="L14" s="42">
        <v>44.605586948596418</v>
      </c>
      <c r="M14" s="26">
        <f t="shared" si="3"/>
        <v>-14.975520024998701</v>
      </c>
      <c r="N14" s="42">
        <v>16.7344799750013</v>
      </c>
      <c r="O14" s="33"/>
      <c r="P14" s="47"/>
      <c r="Q14" s="10"/>
    </row>
    <row r="15" spans="1:148" ht="15" customHeight="1" x14ac:dyDescent="0.25">
      <c r="A15" s="120"/>
      <c r="B15" s="15">
        <v>2018</v>
      </c>
      <c r="C15" s="34">
        <v>2817.1182199999998</v>
      </c>
      <c r="D15" s="35">
        <v>33.533716551851512</v>
      </c>
      <c r="E15" s="36">
        <v>367.91199999999998</v>
      </c>
      <c r="F15" s="41">
        <v>13.06</v>
      </c>
      <c r="G15" s="26">
        <f t="shared" si="0"/>
        <v>-0.23</v>
      </c>
      <c r="H15" s="45"/>
      <c r="I15" s="26">
        <f t="shared" si="1"/>
        <v>-22.588986297761842</v>
      </c>
      <c r="J15" s="43">
        <v>17.670000000000002</v>
      </c>
      <c r="K15" s="26">
        <f t="shared" si="2"/>
        <v>8.8231058774210567</v>
      </c>
      <c r="L15" s="43">
        <v>50.62</v>
      </c>
      <c r="M15" s="26">
        <f t="shared" si="3"/>
        <v>14.003754529088564</v>
      </c>
      <c r="N15" s="50">
        <v>31.71</v>
      </c>
      <c r="O15" s="49"/>
      <c r="Q15" s="10"/>
    </row>
    <row r="16" spans="1:148" ht="15" customHeight="1" x14ac:dyDescent="0.25">
      <c r="A16" s="121" t="s">
        <v>18</v>
      </c>
      <c r="B16" s="9">
        <v>2019</v>
      </c>
      <c r="C16" s="31">
        <v>2697.2169999999996</v>
      </c>
      <c r="D16" s="32">
        <v>37.700000000000003</v>
      </c>
      <c r="E16" s="33">
        <v>1450.347</v>
      </c>
      <c r="F16" s="40">
        <v>53.771980526594646</v>
      </c>
      <c r="G16" s="26">
        <f t="shared" si="0"/>
        <v>0.23</v>
      </c>
      <c r="H16" s="40">
        <v>0.23</v>
      </c>
      <c r="I16" s="26">
        <f t="shared" si="1"/>
        <v>18.718986297761845</v>
      </c>
      <c r="J16" s="40">
        <v>40.258986297761844</v>
      </c>
      <c r="K16" s="26">
        <f t="shared" si="2"/>
        <v>-8.1931058774210612</v>
      </c>
      <c r="L16" s="40">
        <v>41.796894122578941</v>
      </c>
      <c r="M16" s="26">
        <f t="shared" si="3"/>
        <v>-10.763754529088562</v>
      </c>
      <c r="N16" s="40">
        <v>17.706245470911437</v>
      </c>
      <c r="O16" s="33"/>
      <c r="P16" s="47"/>
      <c r="Q16" s="10"/>
    </row>
    <row r="17" spans="1:18" ht="15" customHeight="1" x14ac:dyDescent="0.25">
      <c r="A17" s="120"/>
      <c r="B17" s="15">
        <v>2018</v>
      </c>
      <c r="C17" s="34">
        <v>4200</v>
      </c>
      <c r="D17" s="35">
        <v>34.5</v>
      </c>
      <c r="E17" s="36">
        <v>1417.1</v>
      </c>
      <c r="F17" s="41">
        <v>33.74</v>
      </c>
      <c r="G17" s="26">
        <f t="shared" si="0"/>
        <v>-0.23</v>
      </c>
      <c r="H17" s="43">
        <v>0</v>
      </c>
      <c r="I17" s="26">
        <f t="shared" si="1"/>
        <v>-18.718986297761845</v>
      </c>
      <c r="J17" s="43">
        <v>21.54</v>
      </c>
      <c r="K17" s="26">
        <f t="shared" si="2"/>
        <v>8.1931058774210612</v>
      </c>
      <c r="L17" s="43">
        <v>49.99</v>
      </c>
      <c r="M17" s="26">
        <f t="shared" si="3"/>
        <v>10.763754529088562</v>
      </c>
      <c r="N17" s="43">
        <v>28.47</v>
      </c>
      <c r="O17" s="36"/>
      <c r="P17" s="48"/>
      <c r="Q17" s="10"/>
    </row>
    <row r="18" spans="1:18" ht="15" customHeight="1" x14ac:dyDescent="0.25">
      <c r="A18" s="119" t="s">
        <v>19</v>
      </c>
      <c r="B18" s="9">
        <v>2019</v>
      </c>
      <c r="C18" s="37">
        <v>2697.2169999999996</v>
      </c>
      <c r="D18" s="38">
        <v>37.700000000000003</v>
      </c>
      <c r="E18" s="39">
        <v>1450.347</v>
      </c>
      <c r="F18" s="42">
        <v>53.771980526594646</v>
      </c>
      <c r="G18" s="26">
        <f t="shared" si="0"/>
        <v>0.23</v>
      </c>
      <c r="H18" s="42">
        <v>0.23</v>
      </c>
      <c r="I18" s="26">
        <f t="shared" si="1"/>
        <v>18.718986297761845</v>
      </c>
      <c r="J18" s="42">
        <v>40.258986297761844</v>
      </c>
      <c r="K18" s="26">
        <f t="shared" si="2"/>
        <v>-8.1931058774210612</v>
      </c>
      <c r="L18" s="42">
        <v>41.796894122578941</v>
      </c>
      <c r="M18" s="26">
        <f t="shared" si="3"/>
        <v>-10.763754529088562</v>
      </c>
      <c r="N18" s="42">
        <v>17.706245470911437</v>
      </c>
      <c r="O18" s="33"/>
      <c r="P18" s="47"/>
      <c r="Q18" s="10"/>
    </row>
    <row r="19" spans="1:18" ht="15" customHeight="1" x14ac:dyDescent="0.25">
      <c r="A19" s="120"/>
      <c r="B19" s="15">
        <v>2018</v>
      </c>
      <c r="C19" s="34">
        <v>4200</v>
      </c>
      <c r="D19" s="35">
        <v>34.5</v>
      </c>
      <c r="E19" s="36">
        <v>1417.1</v>
      </c>
      <c r="F19" s="41">
        <v>33.74</v>
      </c>
      <c r="G19" s="26">
        <f t="shared" si="0"/>
        <v>0</v>
      </c>
      <c r="H19" s="43">
        <v>0</v>
      </c>
      <c r="I19" s="26">
        <f t="shared" si="1"/>
        <v>21.54</v>
      </c>
      <c r="J19" s="43">
        <v>21.54</v>
      </c>
      <c r="K19" s="26">
        <f t="shared" si="2"/>
        <v>49.99</v>
      </c>
      <c r="L19" s="43">
        <v>49.99</v>
      </c>
      <c r="M19" s="26">
        <f t="shared" si="3"/>
        <v>28.47</v>
      </c>
      <c r="N19" s="43">
        <v>28.47</v>
      </c>
      <c r="O19" s="36"/>
      <c r="P19" s="48"/>
      <c r="Q19" s="10"/>
    </row>
    <row r="20" spans="1:18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 s="10"/>
    </row>
    <row r="21" spans="1:18" x14ac:dyDescent="0.25">
      <c r="A21" s="118" t="s">
        <v>26</v>
      </c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27"/>
      <c r="N21" s="20" t="s">
        <v>23</v>
      </c>
      <c r="O21" s="21" t="s">
        <v>24</v>
      </c>
      <c r="P21" s="22" t="s">
        <v>25</v>
      </c>
    </row>
    <row r="22" spans="1:18" x14ac:dyDescent="0.25">
      <c r="A22" s="118" t="s">
        <v>20</v>
      </c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23"/>
      <c r="R22" s="24"/>
    </row>
    <row r="23" spans="1:18" x14ac:dyDescent="0.25">
      <c r="A23" s="118" t="s">
        <v>27</v>
      </c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30"/>
      <c r="P23" s="30"/>
      <c r="Q23" s="23"/>
      <c r="R23" s="24"/>
    </row>
    <row r="24" spans="1:18" x14ac:dyDescent="0.25">
      <c r="A24" s="118" t="s">
        <v>28</v>
      </c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/>
      <c r="P24"/>
    </row>
    <row r="25" spans="1:18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8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8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8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8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8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8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8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</row>
    <row r="67" spans="1:16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1:16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  <row r="69" spans="1:16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</row>
    <row r="70" spans="1:16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</row>
    <row r="71" spans="1:16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</row>
    <row r="72" spans="1:16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</row>
    <row r="73" spans="1:16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</row>
    <row r="74" spans="1:16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1:16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1:16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1:16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1:16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</row>
    <row r="79" spans="1:16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</row>
    <row r="80" spans="1:16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</row>
    <row r="81" spans="1:16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</row>
    <row r="82" spans="1:16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</row>
    <row r="83" spans="1:16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spans="1:16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spans="1:16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spans="1:16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</row>
    <row r="87" spans="1:16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</row>
    <row r="88" spans="1:16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</row>
    <row r="89" spans="1:16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</row>
    <row r="90" spans="1:16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</row>
    <row r="91" spans="1:16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</row>
    <row r="92" spans="1:16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</row>
    <row r="93" spans="1:16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</row>
    <row r="94" spans="1:16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5" spans="1:16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</row>
    <row r="96" spans="1:16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</row>
    <row r="97" spans="1:16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</row>
    <row r="98" spans="1:16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</row>
    <row r="99" spans="1:16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</row>
    <row r="100" spans="1:16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</row>
    <row r="101" spans="1:16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</row>
    <row r="102" spans="1:16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</row>
    <row r="103" spans="1:16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</row>
    <row r="104" spans="1:16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</row>
    <row r="105" spans="1:16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</row>
    <row r="106" spans="1:16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1:16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</row>
    <row r="108" spans="1:16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</row>
    <row r="109" spans="1:16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</row>
    <row r="110" spans="1:16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</row>
    <row r="111" spans="1:16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</row>
    <row r="112" spans="1:16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1:16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1:16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</row>
    <row r="115" spans="1:16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1:16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1:16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1:16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1:16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1:16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1:16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1:16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1:16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1:16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1:16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1:16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1:16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1:16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1:16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1:16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1:16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  <row r="132" spans="1:16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</row>
    <row r="133" spans="1:16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</row>
    <row r="134" spans="1:16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</row>
    <row r="135" spans="1:16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</row>
    <row r="136" spans="1:16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1:16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</row>
    <row r="138" spans="1:16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</row>
    <row r="139" spans="1:16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</row>
    <row r="140" spans="1:16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</row>
    <row r="141" spans="1:16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</row>
    <row r="142" spans="1:16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</row>
    <row r="143" spans="1:16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</row>
    <row r="144" spans="1:16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</row>
    <row r="145" spans="1:16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</row>
    <row r="146" spans="1:16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1:16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</row>
    <row r="148" spans="1:16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</row>
    <row r="149" spans="1:16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</row>
    <row r="150" spans="1:16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</row>
    <row r="151" spans="1:16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</row>
    <row r="152" spans="1:16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</row>
    <row r="153" spans="1:16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</row>
    <row r="154" spans="1:16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</row>
    <row r="155" spans="1:16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</row>
    <row r="156" spans="1:16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</row>
    <row r="157" spans="1:16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</row>
    <row r="158" spans="1:16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</row>
    <row r="159" spans="1:16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</row>
    <row r="160" spans="1:16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</row>
    <row r="161" spans="1:16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</row>
    <row r="162" spans="1:16" x14ac:dyDescent="0.25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</row>
    <row r="163" spans="1:16" x14ac:dyDescent="0.25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</row>
    <row r="164" spans="1:16" x14ac:dyDescent="0.25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</row>
    <row r="165" spans="1:16" x14ac:dyDescent="0.2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</row>
    <row r="166" spans="1:16" x14ac:dyDescent="0.25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</row>
    <row r="167" spans="1:16" x14ac:dyDescent="0.25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</row>
    <row r="168" spans="1:16" x14ac:dyDescent="0.25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</row>
    <row r="169" spans="1:16" x14ac:dyDescent="0.25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</row>
    <row r="170" spans="1:16" x14ac:dyDescent="0.25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</row>
    <row r="171" spans="1:16" x14ac:dyDescent="0.25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</row>
    <row r="172" spans="1:16" x14ac:dyDescent="0.25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</row>
    <row r="173" spans="1:16" x14ac:dyDescent="0.25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</row>
    <row r="174" spans="1:16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</row>
    <row r="175" spans="1:16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6" spans="1:16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</row>
    <row r="177" spans="1:16" x14ac:dyDescent="0.2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</row>
    <row r="178" spans="1:16" x14ac:dyDescent="0.2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</row>
    <row r="179" spans="1:16" x14ac:dyDescent="0.2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</row>
    <row r="180" spans="1:16" x14ac:dyDescent="0.2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</row>
    <row r="181" spans="1:16" x14ac:dyDescent="0.2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</row>
    <row r="182" spans="1:16" x14ac:dyDescent="0.2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</row>
    <row r="183" spans="1:16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</row>
    <row r="184" spans="1:16" x14ac:dyDescent="0.2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</row>
    <row r="185" spans="1:16" x14ac:dyDescent="0.2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</row>
    <row r="186" spans="1:16" x14ac:dyDescent="0.2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</row>
    <row r="187" spans="1:16" x14ac:dyDescent="0.2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</row>
    <row r="188" spans="1:16" x14ac:dyDescent="0.2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</row>
    <row r="189" spans="1:16" x14ac:dyDescent="0.2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</row>
    <row r="190" spans="1:16" x14ac:dyDescent="0.2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</row>
    <row r="191" spans="1:16" x14ac:dyDescent="0.2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</row>
    <row r="192" spans="1:16" x14ac:dyDescent="0.2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</row>
    <row r="193" spans="1:16" x14ac:dyDescent="0.2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</row>
    <row r="194" spans="1:16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</row>
    <row r="195" spans="1:16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</row>
    <row r="196" spans="1:16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</row>
    <row r="197" spans="1:16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</row>
    <row r="198" spans="1:16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</row>
    <row r="199" spans="1:16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</row>
    <row r="200" spans="1:16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</row>
    <row r="201" spans="1:16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</row>
    <row r="202" spans="1:16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</row>
    <row r="203" spans="1:16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</row>
    <row r="204" spans="1:16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</row>
    <row r="205" spans="1:16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</row>
    <row r="206" spans="1:16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</row>
    <row r="207" spans="1:16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</row>
    <row r="208" spans="1:16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</row>
    <row r="209" spans="1:16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</row>
    <row r="210" spans="1:16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</row>
    <row r="211" spans="1:16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</row>
    <row r="212" spans="1:16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</row>
    <row r="213" spans="1:16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</row>
    <row r="214" spans="1:16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</row>
    <row r="215" spans="1:16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</row>
    <row r="216" spans="1:16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</row>
    <row r="217" spans="1:16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</row>
    <row r="218" spans="1:16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</row>
    <row r="219" spans="1:16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</row>
    <row r="220" spans="1:16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</row>
    <row r="221" spans="1:16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</row>
    <row r="222" spans="1:16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</row>
    <row r="223" spans="1:16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</row>
    <row r="224" spans="1:16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</row>
    <row r="225" spans="1:16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</row>
    <row r="226" spans="1:16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</row>
    <row r="227" spans="1:16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</row>
    <row r="228" spans="1:16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</row>
    <row r="229" spans="1:16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</row>
    <row r="230" spans="1:16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</row>
    <row r="231" spans="1:16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</row>
    <row r="232" spans="1:16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</row>
    <row r="233" spans="1:16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</row>
    <row r="234" spans="1:16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</row>
    <row r="235" spans="1:16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</row>
    <row r="236" spans="1:16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</row>
    <row r="237" spans="1:16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</row>
    <row r="238" spans="1:16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</row>
    <row r="239" spans="1:16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</row>
    <row r="240" spans="1:16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</row>
    <row r="241" spans="1:16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</row>
    <row r="242" spans="1:16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</row>
    <row r="243" spans="1:16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</row>
    <row r="244" spans="1:16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</row>
    <row r="245" spans="1:16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</row>
    <row r="246" spans="1:16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</row>
    <row r="247" spans="1:16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</row>
    <row r="248" spans="1:16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</row>
    <row r="249" spans="1:16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</row>
    <row r="250" spans="1:16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</row>
    <row r="251" spans="1:16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</row>
    <row r="252" spans="1:16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</row>
    <row r="253" spans="1:16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</row>
    <row r="254" spans="1:16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</row>
    <row r="255" spans="1:16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</row>
    <row r="256" spans="1:16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</row>
    <row r="257" spans="1:16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</row>
    <row r="258" spans="1:16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</row>
    <row r="259" spans="1:16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</row>
    <row r="260" spans="1:16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</row>
    <row r="261" spans="1:16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</row>
    <row r="262" spans="1:16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</row>
    <row r="263" spans="1:16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</row>
    <row r="264" spans="1:16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</row>
    <row r="265" spans="1:16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</row>
    <row r="266" spans="1:16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</row>
    <row r="267" spans="1:16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</row>
    <row r="268" spans="1:16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</row>
    <row r="269" spans="1:16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</row>
    <row r="270" spans="1:16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</row>
    <row r="271" spans="1:16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</row>
    <row r="272" spans="1:16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</row>
    <row r="273" spans="1:16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</row>
    <row r="274" spans="1:16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</row>
    <row r="275" spans="1:16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</row>
    <row r="276" spans="1:16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</row>
    <row r="277" spans="1:16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</row>
    <row r="278" spans="1:16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</row>
    <row r="279" spans="1:16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</row>
    <row r="280" spans="1:16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</row>
    <row r="281" spans="1:16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</row>
    <row r="282" spans="1:16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</row>
    <row r="283" spans="1:16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</row>
    <row r="284" spans="1:16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</row>
    <row r="285" spans="1:16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</row>
    <row r="286" spans="1:16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</row>
    <row r="287" spans="1:16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</row>
    <row r="288" spans="1:16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</row>
    <row r="289" spans="1:16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</row>
    <row r="290" spans="1:16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</row>
    <row r="291" spans="1:16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</row>
    <row r="292" spans="1:16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</row>
    <row r="293" spans="1:16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</row>
    <row r="294" spans="1:16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</row>
    <row r="295" spans="1:16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</row>
    <row r="296" spans="1:16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</row>
    <row r="297" spans="1:16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</row>
    <row r="298" spans="1:16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</row>
    <row r="299" spans="1:16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</row>
    <row r="300" spans="1:16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</row>
    <row r="301" spans="1:16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</row>
    <row r="302" spans="1:16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</row>
    <row r="303" spans="1:16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</row>
    <row r="304" spans="1:16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</row>
    <row r="305" spans="1:16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</row>
    <row r="306" spans="1:16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</row>
    <row r="307" spans="1:16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</row>
    <row r="308" spans="1:16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</row>
    <row r="309" spans="1:16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</row>
    <row r="310" spans="1:16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</row>
    <row r="311" spans="1:16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</row>
    <row r="312" spans="1:16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</row>
    <row r="313" spans="1:16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</row>
    <row r="314" spans="1:16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</row>
    <row r="315" spans="1:16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</row>
    <row r="316" spans="1:16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</row>
    <row r="317" spans="1:16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</row>
    <row r="318" spans="1:16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</row>
    <row r="319" spans="1:16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</row>
    <row r="320" spans="1:16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</row>
    <row r="321" spans="1:16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</row>
    <row r="322" spans="1:16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</row>
    <row r="323" spans="1:16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</row>
    <row r="324" spans="1:16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</row>
    <row r="325" spans="1:16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</row>
    <row r="326" spans="1:16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</row>
    <row r="327" spans="1:16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</row>
    <row r="328" spans="1:16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</row>
    <row r="329" spans="1:16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</row>
    <row r="330" spans="1:16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</row>
    <row r="331" spans="1:16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</row>
    <row r="332" spans="1:16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</row>
    <row r="333" spans="1:16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</row>
    <row r="334" spans="1:16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</row>
    <row r="335" spans="1:16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</row>
    <row r="336" spans="1:16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</row>
    <row r="337" spans="1:16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</row>
    <row r="338" spans="1:16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</row>
    <row r="339" spans="1:16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</row>
    <row r="340" spans="1:16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</row>
    <row r="341" spans="1:16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</row>
    <row r="342" spans="1:16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</row>
    <row r="343" spans="1:16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</row>
    <row r="344" spans="1:16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</row>
    <row r="345" spans="1:16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</row>
    <row r="346" spans="1:16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</row>
    <row r="347" spans="1:16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</row>
    <row r="348" spans="1:16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</row>
    <row r="349" spans="1:16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</row>
    <row r="350" spans="1:16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</row>
    <row r="351" spans="1:16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</row>
    <row r="352" spans="1:16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</row>
    <row r="353" spans="1:16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</row>
    <row r="354" spans="1:16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</row>
    <row r="355" spans="1:16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</row>
    <row r="356" spans="1:16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</row>
    <row r="357" spans="1:16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</row>
    <row r="358" spans="1:16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</row>
    <row r="359" spans="1:16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</row>
    <row r="360" spans="1:16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</row>
    <row r="361" spans="1:16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</row>
    <row r="362" spans="1:16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</row>
    <row r="363" spans="1:16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</row>
    <row r="364" spans="1:16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</row>
    <row r="365" spans="1:16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</row>
    <row r="366" spans="1:16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</row>
    <row r="367" spans="1:16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</row>
    <row r="368" spans="1:16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</row>
    <row r="369" spans="1:16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</row>
    <row r="370" spans="1:16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</row>
    <row r="371" spans="1:16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</row>
    <row r="372" spans="1:16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</row>
    <row r="373" spans="1:16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</row>
    <row r="374" spans="1:16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</row>
    <row r="375" spans="1:16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</row>
    <row r="376" spans="1:16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</row>
    <row r="377" spans="1:16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</row>
    <row r="378" spans="1:16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</row>
    <row r="379" spans="1:16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</row>
    <row r="380" spans="1:16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</row>
    <row r="381" spans="1:16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</row>
    <row r="382" spans="1:16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</row>
    <row r="383" spans="1:16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</row>
    <row r="384" spans="1:16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</row>
    <row r="385" spans="1:16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</row>
    <row r="386" spans="1:16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</row>
    <row r="387" spans="1:16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</row>
    <row r="388" spans="1:16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</row>
    <row r="389" spans="1:16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</row>
    <row r="390" spans="1:16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</row>
    <row r="391" spans="1:16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</row>
    <row r="392" spans="1:16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</row>
    <row r="393" spans="1:16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</row>
    <row r="394" spans="1:16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</row>
    <row r="395" spans="1:16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</row>
    <row r="396" spans="1:16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</row>
    <row r="397" spans="1:16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</row>
    <row r="398" spans="1:16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</row>
    <row r="399" spans="1:16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</row>
    <row r="400" spans="1:16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</row>
    <row r="401" spans="1:16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</row>
    <row r="402" spans="1:16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</row>
    <row r="403" spans="1:16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</row>
    <row r="404" spans="1:16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</row>
    <row r="405" spans="1:16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</row>
    <row r="406" spans="1:16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</row>
    <row r="407" spans="1:16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</row>
    <row r="408" spans="1:16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</row>
    <row r="409" spans="1:16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</row>
    <row r="410" spans="1:16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</row>
    <row r="411" spans="1:16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</row>
    <row r="412" spans="1:16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</row>
    <row r="413" spans="1:16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</row>
    <row r="414" spans="1:16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</row>
    <row r="415" spans="1:16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</row>
    <row r="416" spans="1:16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</row>
    <row r="417" spans="1:16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</row>
    <row r="418" spans="1:16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</row>
    <row r="419" spans="1:16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</row>
    <row r="420" spans="1:16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</row>
    <row r="421" spans="1:16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</row>
    <row r="422" spans="1:16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</row>
    <row r="423" spans="1:16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</row>
    <row r="424" spans="1:16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</row>
    <row r="425" spans="1:16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</row>
    <row r="426" spans="1:16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</row>
    <row r="427" spans="1:16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</row>
    <row r="428" spans="1:16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</row>
    <row r="429" spans="1:16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</row>
    <row r="430" spans="1:16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</row>
    <row r="431" spans="1:16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</row>
    <row r="432" spans="1:16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</row>
    <row r="433" spans="1:16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</row>
    <row r="434" spans="1:16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</row>
    <row r="435" spans="1:1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</row>
    <row r="436" spans="1:1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</row>
    <row r="437" spans="1:16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</row>
    <row r="438" spans="1:16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</row>
    <row r="439" spans="1:16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</row>
    <row r="440" spans="1:16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</row>
    <row r="441" spans="1:16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</row>
    <row r="442" spans="1:16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</row>
    <row r="443" spans="1:16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</row>
    <row r="444" spans="1:16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</row>
    <row r="445" spans="1:16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</row>
    <row r="446" spans="1:16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</row>
    <row r="447" spans="1:16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</row>
    <row r="448" spans="1:16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</row>
    <row r="449" spans="1:16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</row>
    <row r="450" spans="1:16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</row>
    <row r="451" spans="1:16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</row>
    <row r="452" spans="1:16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</row>
    <row r="453" spans="1:16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</row>
    <row r="454" spans="1:16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</row>
    <row r="455" spans="1:16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</row>
    <row r="456" spans="1:16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</row>
    <row r="457" spans="1:16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</row>
    <row r="458" spans="1:16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</row>
    <row r="459" spans="1:16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</row>
    <row r="460" spans="1:16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</row>
    <row r="461" spans="1:16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</row>
    <row r="462" spans="1:16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</row>
    <row r="463" spans="1:16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</row>
    <row r="464" spans="1:16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</row>
    <row r="465" spans="1:16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</row>
    <row r="466" spans="1:16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</row>
    <row r="467" spans="1:16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</row>
    <row r="468" spans="1:16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</row>
    <row r="469" spans="1:16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</row>
    <row r="470" spans="1:16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</row>
    <row r="471" spans="1:16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</row>
    <row r="472" spans="1:16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</row>
    <row r="473" spans="1:16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</row>
    <row r="474" spans="1:16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</row>
    <row r="475" spans="1:16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</row>
    <row r="476" spans="1:16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</row>
    <row r="477" spans="1:16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</row>
    <row r="478" spans="1:16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</row>
    <row r="479" spans="1:16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</row>
    <row r="480" spans="1:16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</row>
    <row r="481" spans="1:16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</row>
    <row r="482" spans="1:16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</row>
    <row r="483" spans="1:16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</row>
    <row r="484" spans="1:16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</row>
    <row r="485" spans="1:16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</row>
    <row r="486" spans="1:16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</row>
    <row r="487" spans="1:16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</row>
    <row r="488" spans="1:16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</row>
    <row r="489" spans="1:16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</row>
    <row r="490" spans="1:16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</row>
    <row r="491" spans="1:16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</row>
    <row r="492" spans="1:16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</row>
    <row r="493" spans="1:16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</row>
    <row r="494" spans="1:16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</row>
    <row r="495" spans="1:16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</row>
    <row r="496" spans="1:16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</row>
    <row r="497" spans="1:16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</row>
    <row r="498" spans="1:16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</row>
    <row r="499" spans="1:16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</row>
    <row r="500" spans="1:16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</row>
    <row r="501" spans="1:16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</row>
    <row r="502" spans="1:16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</row>
    <row r="503" spans="1:16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</row>
    <row r="504" spans="1:16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</row>
    <row r="505" spans="1:16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</row>
    <row r="506" spans="1:16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</row>
    <row r="507" spans="1:16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</row>
    <row r="508" spans="1:16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</row>
    <row r="509" spans="1:16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</row>
    <row r="510" spans="1:16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</row>
    <row r="511" spans="1:16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</row>
    <row r="512" spans="1:16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</row>
    <row r="513" spans="1:16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</row>
    <row r="514" spans="1:16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</row>
    <row r="515" spans="1:16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</row>
    <row r="516" spans="1:16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</row>
    <row r="517" spans="1:16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</row>
    <row r="518" spans="1:16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</row>
    <row r="519" spans="1:16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</row>
    <row r="520" spans="1:16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</row>
    <row r="521" spans="1:16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</row>
    <row r="522" spans="1:16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</row>
    <row r="523" spans="1:16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</row>
    <row r="524" spans="1:16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</row>
    <row r="525" spans="1:16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</row>
    <row r="526" spans="1:16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</row>
    <row r="527" spans="1:16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</row>
    <row r="528" spans="1:16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</row>
    <row r="529" spans="1:16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</row>
    <row r="530" spans="1:16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</row>
    <row r="531" spans="1:16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</row>
    <row r="532" spans="1:16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</row>
    <row r="533" spans="1:16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</row>
    <row r="534" spans="1:16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</row>
    <row r="535" spans="1:16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</row>
    <row r="536" spans="1:16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</row>
    <row r="537" spans="1:16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</row>
    <row r="538" spans="1:16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</row>
    <row r="539" spans="1:16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</row>
    <row r="540" spans="1:16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</row>
    <row r="541" spans="1:16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</row>
    <row r="542" spans="1:16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</row>
    <row r="543" spans="1:16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</row>
    <row r="544" spans="1:16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</row>
    <row r="545" spans="1:16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</row>
    <row r="546" spans="1:16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</row>
    <row r="547" spans="1:16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</row>
    <row r="548" spans="1:16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</row>
    <row r="549" spans="1:16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</row>
    <row r="550" spans="1:16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</row>
    <row r="551" spans="1:16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</row>
    <row r="552" spans="1:16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</row>
    <row r="553" spans="1:16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</row>
    <row r="554" spans="1:16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</row>
    <row r="555" spans="1:16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</row>
    <row r="556" spans="1:16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</row>
    <row r="557" spans="1:16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</row>
    <row r="558" spans="1:16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</row>
    <row r="559" spans="1:16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</row>
    <row r="560" spans="1:16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</row>
    <row r="561" spans="1:16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</row>
    <row r="562" spans="1:16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</row>
    <row r="563" spans="1:16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</row>
    <row r="564" spans="1:16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</row>
    <row r="565" spans="1:16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</row>
    <row r="566" spans="1:16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</row>
    <row r="567" spans="1:16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</row>
    <row r="568" spans="1:16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</row>
    <row r="569" spans="1:16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</row>
    <row r="570" spans="1:16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</row>
    <row r="571" spans="1:16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</row>
    <row r="572" spans="1:16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</row>
    <row r="573" spans="1:16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</row>
    <row r="574" spans="1:16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</row>
    <row r="575" spans="1:16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</row>
    <row r="576" spans="1:16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</row>
    <row r="577" spans="1:16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</row>
    <row r="578" spans="1:16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</row>
    <row r="579" spans="1:16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</row>
    <row r="580" spans="1:16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</row>
    <row r="581" spans="1:16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</row>
    <row r="582" spans="1:16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</row>
    <row r="583" spans="1:16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</row>
    <row r="584" spans="1:16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</row>
    <row r="585" spans="1:16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</row>
    <row r="586" spans="1:16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</row>
    <row r="587" spans="1:16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</row>
    <row r="588" spans="1:16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</row>
    <row r="589" spans="1:16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</row>
    <row r="590" spans="1:16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</row>
    <row r="591" spans="1:16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</row>
    <row r="592" spans="1:16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</row>
    <row r="593" spans="1:16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</row>
    <row r="594" spans="1:16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</row>
    <row r="595" spans="1:16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</row>
    <row r="596" spans="1:16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</row>
    <row r="597" spans="1:16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</row>
    <row r="598" spans="1:16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</row>
    <row r="599" spans="1:16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</row>
    <row r="600" spans="1:16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</row>
    <row r="601" spans="1:16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</row>
    <row r="602" spans="1:16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</row>
    <row r="603" spans="1:16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</row>
    <row r="604" spans="1:16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</row>
    <row r="605" spans="1:16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</row>
    <row r="606" spans="1:16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</row>
    <row r="607" spans="1:16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</row>
    <row r="608" spans="1:16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</row>
    <row r="609" spans="1:16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</row>
    <row r="610" spans="1:16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</row>
    <row r="611" spans="1:16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</row>
    <row r="612" spans="1:16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</row>
    <row r="613" spans="1:16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</row>
    <row r="614" spans="1:16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</row>
    <row r="615" spans="1:16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</row>
    <row r="616" spans="1:16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</row>
    <row r="617" spans="1:16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</row>
    <row r="618" spans="1:16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</row>
    <row r="619" spans="1:16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</row>
    <row r="620" spans="1:16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</row>
    <row r="621" spans="1:16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</row>
    <row r="622" spans="1:16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</row>
    <row r="623" spans="1:16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</row>
    <row r="624" spans="1:16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</row>
    <row r="625" spans="1:16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</row>
    <row r="626" spans="1:16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</row>
    <row r="627" spans="1:16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</row>
    <row r="628" spans="1:16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</row>
    <row r="629" spans="1:16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</row>
    <row r="630" spans="1:16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</row>
    <row r="631" spans="1:16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</row>
    <row r="632" spans="1:16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</row>
    <row r="633" spans="1:16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</row>
    <row r="634" spans="1:16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</row>
    <row r="635" spans="1:16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</row>
    <row r="636" spans="1:16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</row>
    <row r="637" spans="1:16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</row>
    <row r="638" spans="1:16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</row>
    <row r="639" spans="1:16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</row>
    <row r="640" spans="1:16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</row>
    <row r="641" spans="1:16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</row>
    <row r="642" spans="1:16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</row>
    <row r="643" spans="1:16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</row>
    <row r="644" spans="1:16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</row>
    <row r="645" spans="1:16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</row>
    <row r="646" spans="1:16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</row>
    <row r="647" spans="1:16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</row>
    <row r="648" spans="1:16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</row>
    <row r="649" spans="1:16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</row>
    <row r="650" spans="1:16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</row>
    <row r="651" spans="1:16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</row>
    <row r="652" spans="1:16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</row>
    <row r="653" spans="1:16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</row>
    <row r="654" spans="1:16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</row>
    <row r="655" spans="1:16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</row>
    <row r="656" spans="1:16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</row>
    <row r="657" spans="1:16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</row>
    <row r="658" spans="1:16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</row>
    <row r="659" spans="1:16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</row>
    <row r="660" spans="1:16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</row>
    <row r="661" spans="1:16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</row>
    <row r="662" spans="1:16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</row>
    <row r="663" spans="1:16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</row>
    <row r="664" spans="1:16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</row>
    <row r="665" spans="1:16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</row>
    <row r="666" spans="1:16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</row>
    <row r="667" spans="1:16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</row>
    <row r="668" spans="1:16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</row>
    <row r="669" spans="1:16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</row>
    <row r="670" spans="1:16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</row>
    <row r="671" spans="1:16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</row>
    <row r="672" spans="1:16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</row>
    <row r="673" spans="1:16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</row>
    <row r="674" spans="1:16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</row>
    <row r="675" spans="1:16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</row>
    <row r="676" spans="1:16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</row>
    <row r="677" spans="1:16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</row>
    <row r="678" spans="1:16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</row>
    <row r="679" spans="1:16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</row>
    <row r="680" spans="1:16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</row>
    <row r="681" spans="1:16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</row>
    <row r="682" spans="1:16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</row>
    <row r="683" spans="1:16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</row>
    <row r="684" spans="1:16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</row>
    <row r="685" spans="1:16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</row>
    <row r="686" spans="1:16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</row>
    <row r="687" spans="1:16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</row>
    <row r="688" spans="1:16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</row>
    <row r="689" spans="1:16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</row>
    <row r="690" spans="1:16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</row>
    <row r="691" spans="1:16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</row>
    <row r="692" spans="1:16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</row>
    <row r="693" spans="1:16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</row>
    <row r="694" spans="1:16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</row>
    <row r="695" spans="1:16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</row>
    <row r="696" spans="1:16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</row>
    <row r="697" spans="1:16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</row>
    <row r="698" spans="1:16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</row>
    <row r="699" spans="1:16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</row>
    <row r="700" spans="1:16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</row>
    <row r="701" spans="1:16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</row>
    <row r="702" spans="1:16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</row>
    <row r="703" spans="1:16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</row>
    <row r="704" spans="1:16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</row>
    <row r="705" spans="1:16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</row>
    <row r="706" spans="1:16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</row>
    <row r="707" spans="1:16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</row>
    <row r="708" spans="1:16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</row>
    <row r="709" spans="1:16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</row>
    <row r="710" spans="1:16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</row>
    <row r="711" spans="1:16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</row>
    <row r="712" spans="1:16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</row>
    <row r="713" spans="1:16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</row>
    <row r="714" spans="1:16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</row>
    <row r="715" spans="1:16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</row>
    <row r="716" spans="1:16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</row>
    <row r="717" spans="1:16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</row>
    <row r="718" spans="1:16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</row>
    <row r="719" spans="1:16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</row>
    <row r="720" spans="1:16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</row>
    <row r="721" spans="1:16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</row>
    <row r="722" spans="1:16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</row>
    <row r="723" spans="1:16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</row>
    <row r="724" spans="1:16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</row>
    <row r="725" spans="1:16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</row>
    <row r="726" spans="1:16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</row>
    <row r="727" spans="1:16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</row>
    <row r="728" spans="1:16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</row>
    <row r="729" spans="1:16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</row>
    <row r="730" spans="1:16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</row>
    <row r="731" spans="1:16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</row>
    <row r="732" spans="1:16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</row>
    <row r="733" spans="1:16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</row>
    <row r="734" spans="1:16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</row>
    <row r="735" spans="1:16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</row>
    <row r="736" spans="1:16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</row>
    <row r="737" spans="1:16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</row>
    <row r="738" spans="1:16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</row>
    <row r="739" spans="1:16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</row>
    <row r="740" spans="1:16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</row>
    <row r="741" spans="1:16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</row>
    <row r="742" spans="1:16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</row>
    <row r="743" spans="1:16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</row>
    <row r="744" spans="1:16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</row>
    <row r="745" spans="1:16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</row>
    <row r="746" spans="1:16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</row>
    <row r="747" spans="1:16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</row>
    <row r="748" spans="1:16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</row>
    <row r="749" spans="1:16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</row>
    <row r="750" spans="1:16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</row>
    <row r="751" spans="1:16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</row>
    <row r="752" spans="1:16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</row>
    <row r="753" spans="1:16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</row>
    <row r="754" spans="1:16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</row>
    <row r="755" spans="1:16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</row>
    <row r="756" spans="1:16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</row>
    <row r="757" spans="1:16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</row>
    <row r="758" spans="1:16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</row>
    <row r="759" spans="1:16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</row>
    <row r="760" spans="1:16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</row>
    <row r="761" spans="1:16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</row>
    <row r="762" spans="1:16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</row>
    <row r="763" spans="1:16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</row>
    <row r="764" spans="1:16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</row>
    <row r="765" spans="1:16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</row>
    <row r="766" spans="1:16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</row>
    <row r="767" spans="1:16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</row>
    <row r="768" spans="1:16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</row>
    <row r="769" spans="1:16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</row>
    <row r="770" spans="1:16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</row>
    <row r="771" spans="1:16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</row>
    <row r="772" spans="1:16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</row>
    <row r="773" spans="1:16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</row>
    <row r="774" spans="1:16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</row>
    <row r="775" spans="1:16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</row>
    <row r="776" spans="1:16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</row>
    <row r="777" spans="1:16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</row>
    <row r="778" spans="1:16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</row>
    <row r="779" spans="1:16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</row>
    <row r="780" spans="1:16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</row>
    <row r="781" spans="1:16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</row>
    <row r="782" spans="1:16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</row>
    <row r="783" spans="1:16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</row>
    <row r="784" spans="1:16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</row>
    <row r="785" spans="1:16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</row>
    <row r="786" spans="1:16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</row>
    <row r="787" spans="1:16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</row>
    <row r="788" spans="1:16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</row>
    <row r="789" spans="1:16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</row>
    <row r="790" spans="1:16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</row>
    <row r="791" spans="1:16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</row>
    <row r="792" spans="1:16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</row>
    <row r="793" spans="1:16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</row>
    <row r="794" spans="1:16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</row>
    <row r="795" spans="1:16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</row>
    <row r="796" spans="1:16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</row>
    <row r="797" spans="1:16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</row>
    <row r="798" spans="1:16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</row>
    <row r="799" spans="1:16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</row>
    <row r="800" spans="1:16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</row>
    <row r="801" spans="1:16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</row>
    <row r="802" spans="1:16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</row>
    <row r="803" spans="1:16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</row>
    <row r="804" spans="1:16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</row>
    <row r="805" spans="1:16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</row>
    <row r="806" spans="1:16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</row>
    <row r="807" spans="1:16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</row>
    <row r="808" spans="1:16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</row>
    <row r="809" spans="1:16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</row>
    <row r="810" spans="1:16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</row>
    <row r="811" spans="1:16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</row>
    <row r="812" spans="1:16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</row>
    <row r="813" spans="1:16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</row>
    <row r="814" spans="1:16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</row>
    <row r="815" spans="1:16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</row>
    <row r="816" spans="1:16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</row>
    <row r="817" spans="1:16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</row>
    <row r="818" spans="1:16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</row>
    <row r="819" spans="1:16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</row>
    <row r="820" spans="1:16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</row>
    <row r="821" spans="1:16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</row>
    <row r="822" spans="1:16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</row>
    <row r="823" spans="1:16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</row>
    <row r="824" spans="1:16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</row>
    <row r="825" spans="1:16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</row>
    <row r="826" spans="1:16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</row>
    <row r="827" spans="1:16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</row>
    <row r="828" spans="1:16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</row>
    <row r="829" spans="1:16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</row>
    <row r="830" spans="1:16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</row>
    <row r="831" spans="1:16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</row>
    <row r="832" spans="1:16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</row>
    <row r="833" spans="1:16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</row>
    <row r="834" spans="1:16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</row>
    <row r="835" spans="1:16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</row>
    <row r="836" spans="1:16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</row>
    <row r="837" spans="1:16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</row>
    <row r="838" spans="1:16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</row>
    <row r="839" spans="1:16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</row>
    <row r="840" spans="1:16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</row>
    <row r="841" spans="1:16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</row>
    <row r="842" spans="1:16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</row>
    <row r="843" spans="1:16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</row>
    <row r="844" spans="1:16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</row>
    <row r="845" spans="1:16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</row>
    <row r="846" spans="1:16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</row>
    <row r="847" spans="1:16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</row>
    <row r="848" spans="1:16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</row>
    <row r="849" spans="1:16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</row>
    <row r="850" spans="1:16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</row>
    <row r="851" spans="1:16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</row>
    <row r="852" spans="1:16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</row>
    <row r="853" spans="1:16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</row>
    <row r="854" spans="1:16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</row>
    <row r="855" spans="1:16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</row>
    <row r="856" spans="1:16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</row>
    <row r="857" spans="1:16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</row>
    <row r="858" spans="1:16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</row>
    <row r="859" spans="1:16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</row>
    <row r="860" spans="1:16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</row>
    <row r="861" spans="1:16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</row>
    <row r="862" spans="1:16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</row>
    <row r="863" spans="1:16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</row>
    <row r="864" spans="1:16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</row>
    <row r="865" spans="1:16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</row>
    <row r="866" spans="1:16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</row>
    <row r="867" spans="1:16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</row>
    <row r="868" spans="1:16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</row>
    <row r="869" spans="1:16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</row>
    <row r="870" spans="1:16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</row>
    <row r="871" spans="1:16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</row>
    <row r="872" spans="1:16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</row>
    <row r="873" spans="1:16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</row>
    <row r="874" spans="1:16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</row>
    <row r="875" spans="1:16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</row>
    <row r="876" spans="1:16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</row>
    <row r="877" spans="1:16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</row>
    <row r="878" spans="1:16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</row>
    <row r="879" spans="1:16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</row>
    <row r="880" spans="1:16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</row>
    <row r="881" spans="1:16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</row>
    <row r="882" spans="1:16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</row>
    <row r="883" spans="1:16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</row>
    <row r="884" spans="1:16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</row>
    <row r="885" spans="1:16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</row>
    <row r="886" spans="1:16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</row>
    <row r="887" spans="1:16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</row>
    <row r="888" spans="1:16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</row>
    <row r="889" spans="1:16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</row>
    <row r="890" spans="1:16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</row>
    <row r="891" spans="1:16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</row>
    <row r="892" spans="1:16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</row>
    <row r="893" spans="1:16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</row>
    <row r="894" spans="1:16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</row>
    <row r="895" spans="1:16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</row>
    <row r="896" spans="1:16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</row>
    <row r="897" spans="1:16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</row>
    <row r="898" spans="1:16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</row>
    <row r="899" spans="1:16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</row>
    <row r="900" spans="1:16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</row>
    <row r="901" spans="1:16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</row>
    <row r="902" spans="1:16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</row>
    <row r="903" spans="1:16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</row>
    <row r="904" spans="1:16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</row>
    <row r="905" spans="1:16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</row>
    <row r="906" spans="1:16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</row>
    <row r="907" spans="1:16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</row>
    <row r="908" spans="1:16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</row>
    <row r="909" spans="1:16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</row>
    <row r="910" spans="1:16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</row>
    <row r="911" spans="1:16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</row>
    <row r="912" spans="1:16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</row>
    <row r="913" spans="1:16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</row>
    <row r="914" spans="1:16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</row>
    <row r="915" spans="1:16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</row>
    <row r="916" spans="1:16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</row>
    <row r="917" spans="1:16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</row>
    <row r="918" spans="1:16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</row>
    <row r="919" spans="1:16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</row>
    <row r="920" spans="1:16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</row>
    <row r="921" spans="1:16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</row>
    <row r="922" spans="1:16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</row>
    <row r="923" spans="1:16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</row>
    <row r="924" spans="1:16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</row>
    <row r="925" spans="1:16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</row>
    <row r="926" spans="1:16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</row>
    <row r="927" spans="1:16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</row>
    <row r="928" spans="1:16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</row>
    <row r="929" spans="1:16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</row>
    <row r="930" spans="1:16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</row>
    <row r="931" spans="1:16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</row>
    <row r="932" spans="1:16" x14ac:dyDescent="0.25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</row>
    <row r="933" spans="1:16" x14ac:dyDescent="0.25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</row>
    <row r="934" spans="1:16" x14ac:dyDescent="0.25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</row>
    <row r="935" spans="1:16" x14ac:dyDescent="0.25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</row>
    <row r="936" spans="1:16" x14ac:dyDescent="0.25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</row>
    <row r="937" spans="1:16" x14ac:dyDescent="0.25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</row>
    <row r="938" spans="1:16" x14ac:dyDescent="0.25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</row>
    <row r="939" spans="1:16" x14ac:dyDescent="0.25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</row>
    <row r="940" spans="1:16" x14ac:dyDescent="0.25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</row>
    <row r="941" spans="1:16" x14ac:dyDescent="0.25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</row>
    <row r="942" spans="1:16" x14ac:dyDescent="0.25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</row>
    <row r="943" spans="1:16" x14ac:dyDescent="0.25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</row>
    <row r="944" spans="1:16" x14ac:dyDescent="0.25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</row>
    <row r="945" spans="1:16" x14ac:dyDescent="0.25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</row>
    <row r="946" spans="1:16" x14ac:dyDescent="0.25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</row>
    <row r="947" spans="1:16" x14ac:dyDescent="0.25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</row>
    <row r="948" spans="1:16" x14ac:dyDescent="0.25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</row>
    <row r="949" spans="1:16" x14ac:dyDescent="0.25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</row>
    <row r="950" spans="1:16" x14ac:dyDescent="0.25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</row>
    <row r="951" spans="1:16" x14ac:dyDescent="0.25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</row>
    <row r="952" spans="1:16" x14ac:dyDescent="0.25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</row>
    <row r="953" spans="1:16" x14ac:dyDescent="0.25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</row>
    <row r="954" spans="1:16" x14ac:dyDescent="0.25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</row>
    <row r="955" spans="1:16" x14ac:dyDescent="0.25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</row>
    <row r="956" spans="1:16" x14ac:dyDescent="0.25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</row>
    <row r="957" spans="1:16" x14ac:dyDescent="0.25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</row>
    <row r="958" spans="1:16" x14ac:dyDescent="0.25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</row>
    <row r="959" spans="1:16" x14ac:dyDescent="0.25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</row>
    <row r="960" spans="1:16" x14ac:dyDescent="0.25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</row>
    <row r="961" spans="1:16" x14ac:dyDescent="0.25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</row>
    <row r="962" spans="1:16" x14ac:dyDescent="0.25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</row>
    <row r="963" spans="1:16" x14ac:dyDescent="0.25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</row>
    <row r="964" spans="1:16" x14ac:dyDescent="0.25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</row>
    <row r="965" spans="1:16" x14ac:dyDescent="0.25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</row>
    <row r="966" spans="1:16" x14ac:dyDescent="0.25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</row>
    <row r="967" spans="1:16" x14ac:dyDescent="0.25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</row>
    <row r="968" spans="1:16" x14ac:dyDescent="0.25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</row>
    <row r="969" spans="1:16" x14ac:dyDescent="0.25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</row>
    <row r="970" spans="1:16" x14ac:dyDescent="0.25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</row>
    <row r="971" spans="1:16" x14ac:dyDescent="0.25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</row>
    <row r="972" spans="1:16" x14ac:dyDescent="0.25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</row>
    <row r="973" spans="1:16" x14ac:dyDescent="0.25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</row>
    <row r="974" spans="1:16" x14ac:dyDescent="0.25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</row>
    <row r="975" spans="1:16" x14ac:dyDescent="0.25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</row>
    <row r="976" spans="1:16" x14ac:dyDescent="0.25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</row>
    <row r="977" spans="1:16" x14ac:dyDescent="0.25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</row>
    <row r="978" spans="1:16" x14ac:dyDescent="0.25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</row>
    <row r="979" spans="1:16" x14ac:dyDescent="0.25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</row>
    <row r="980" spans="1:16" x14ac:dyDescent="0.25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</row>
    <row r="981" spans="1:16" x14ac:dyDescent="0.25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</row>
    <row r="982" spans="1:16" x14ac:dyDescent="0.25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</row>
    <row r="983" spans="1:16" x14ac:dyDescent="0.25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</row>
    <row r="984" spans="1:16" x14ac:dyDescent="0.25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</row>
    <row r="985" spans="1:16" x14ac:dyDescent="0.25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</row>
    <row r="986" spans="1:16" x14ac:dyDescent="0.25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</row>
    <row r="987" spans="1:16" x14ac:dyDescent="0.25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</row>
    <row r="988" spans="1:16" x14ac:dyDescent="0.25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</row>
    <row r="989" spans="1:16" x14ac:dyDescent="0.25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</row>
    <row r="990" spans="1:16" x14ac:dyDescent="0.25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</row>
  </sheetData>
  <mergeCells count="24">
    <mergeCell ref="A10:A11"/>
    <mergeCell ref="A1:P1"/>
    <mergeCell ref="A2:P2"/>
    <mergeCell ref="A4:A5"/>
    <mergeCell ref="B4:B5"/>
    <mergeCell ref="C4:C5"/>
    <mergeCell ref="D4:D5"/>
    <mergeCell ref="E4:E5"/>
    <mergeCell ref="F4:F5"/>
    <mergeCell ref="G4:H4"/>
    <mergeCell ref="I4:J4"/>
    <mergeCell ref="K4:L4"/>
    <mergeCell ref="M4:N4"/>
    <mergeCell ref="O4:P4"/>
    <mergeCell ref="A6:A7"/>
    <mergeCell ref="A8:A9"/>
    <mergeCell ref="A23:N23"/>
    <mergeCell ref="A24:N24"/>
    <mergeCell ref="A12:A13"/>
    <mergeCell ref="A14:A15"/>
    <mergeCell ref="A16:A17"/>
    <mergeCell ref="A18:A19"/>
    <mergeCell ref="A21:L21"/>
    <mergeCell ref="A22:P22"/>
  </mergeCells>
  <conditionalFormatting sqref="H6">
    <cfRule type="expression" dxfId="158" priority="137">
      <formula>AND((H6-H7)&gt;-0.029,(H6-H7)&lt;0.029)</formula>
    </cfRule>
    <cfRule type="expression" dxfId="157" priority="138">
      <formula>((H6/H7-1)&gt;=0.029)</formula>
    </cfRule>
    <cfRule type="expression" dxfId="156" priority="139">
      <formula>((H6/H7-1)&lt;=-0.029)</formula>
    </cfRule>
  </conditionalFormatting>
  <conditionalFormatting sqref="L8">
    <cfRule type="expression" dxfId="155" priority="122">
      <formula>AND((L8-L9)&gt;-0.029,(L8-L9)&lt;0.029)</formula>
    </cfRule>
    <cfRule type="expression" dxfId="154" priority="123">
      <formula>((L8/L9-1)&gt;=0.029)</formula>
    </cfRule>
    <cfRule type="expression" dxfId="153" priority="124">
      <formula>((L8/L9-1)&lt;=-0.029)</formula>
    </cfRule>
  </conditionalFormatting>
  <conditionalFormatting sqref="H18">
    <cfRule type="expression" dxfId="152" priority="95">
      <formula>AND((H18-H19)&gt;-0.029,(H18-H19)&lt;0.029)</formula>
    </cfRule>
    <cfRule type="expression" dxfId="151" priority="96">
      <formula>((H18/H19-1)&gt;=0.029)</formula>
    </cfRule>
    <cfRule type="expression" dxfId="150" priority="97">
      <formula>((H18/H19-1)&lt;=-0.029)</formula>
    </cfRule>
  </conditionalFormatting>
  <conditionalFormatting sqref="J18">
    <cfRule type="expression" dxfId="149" priority="92">
      <formula>AND((J18-J19)&gt;-0.029,(J18-J19)&lt;0.029)</formula>
    </cfRule>
    <cfRule type="expression" dxfId="148" priority="93">
      <formula>((J18/J19-1)&gt;=0.029)</formula>
    </cfRule>
    <cfRule type="expression" dxfId="147" priority="94">
      <formula>((J18/J19-1)&lt;=-0.029)</formula>
    </cfRule>
  </conditionalFormatting>
  <conditionalFormatting sqref="L18">
    <cfRule type="expression" dxfId="146" priority="89">
      <formula>AND((L18-L19)&gt;-0.029,(L18-L19)&lt;0.029)</formula>
    </cfRule>
    <cfRule type="expression" dxfId="145" priority="90">
      <formula>((L18/L19-1)&gt;=0.029)</formula>
    </cfRule>
    <cfRule type="expression" dxfId="144" priority="91">
      <formula>((L18/L19-1)&lt;=-0.029)</formula>
    </cfRule>
  </conditionalFormatting>
  <conditionalFormatting sqref="E6">
    <cfRule type="expression" dxfId="143" priority="80">
      <formula>AND((E6/E7-1)&gt;-0.029,(E6/E7-1)&lt;0.029)</formula>
    </cfRule>
    <cfRule type="expression" dxfId="142" priority="81">
      <formula>((E6/E7-1)&gt;=0.029)</formula>
    </cfRule>
    <cfRule type="expression" dxfId="141" priority="82">
      <formula>((E6/E7-1)&lt;=-0.029)</formula>
    </cfRule>
  </conditionalFormatting>
  <conditionalFormatting sqref="J16">
    <cfRule type="expression" dxfId="140" priority="104">
      <formula>AND((J16-J17)&gt;-0.029,(J16-J17)&lt;0.029)</formula>
    </cfRule>
    <cfRule type="expression" dxfId="139" priority="105">
      <formula>((J16/J17-1)&gt;=0.029)</formula>
    </cfRule>
    <cfRule type="expression" dxfId="138" priority="106">
      <formula>((J16/J17-1)&lt;=-0.029)</formula>
    </cfRule>
  </conditionalFormatting>
  <conditionalFormatting sqref="C6">
    <cfRule type="expression" dxfId="137" priority="83">
      <formula>AND((C6/C7-1)&gt;-0.029,(C6/C7-1)&lt;0.029)</formula>
    </cfRule>
    <cfRule type="expression" dxfId="136" priority="84">
      <formula>((C6/C7-1)&gt;=0.029)</formula>
    </cfRule>
    <cfRule type="expression" dxfId="135" priority="85">
      <formula>((C6/C7-1)&lt;=-0.029)</formula>
    </cfRule>
  </conditionalFormatting>
  <conditionalFormatting sqref="F6">
    <cfRule type="expression" dxfId="134" priority="77">
      <formula>AND((F6-F7)&gt;-0.029,(F6-F7)&lt;0.029)</formula>
    </cfRule>
    <cfRule type="expression" dxfId="133" priority="78">
      <formula>((F6/F7-1)&gt;=0.029)</formula>
    </cfRule>
    <cfRule type="expression" dxfId="132" priority="79">
      <formula>((F6/F7-1)&lt;=-0.029)</formula>
    </cfRule>
  </conditionalFormatting>
  <conditionalFormatting sqref="N8">
    <cfRule type="expression" dxfId="131" priority="119">
      <formula>AND((N8-N9)&gt;-0.029,(N8-N9)&lt;0.029)</formula>
    </cfRule>
    <cfRule type="expression" dxfId="130" priority="120">
      <formula>((N8/N9-1)&gt;=0.029)</formula>
    </cfRule>
    <cfRule type="expression" dxfId="129" priority="121">
      <formula>((N8/N9-1)&lt;=-0.029)</formula>
    </cfRule>
  </conditionalFormatting>
  <conditionalFormatting sqref="N10">
    <cfRule type="expression" dxfId="128" priority="110">
      <formula>AND((N10-N11)&gt;-0.029,(N10-N11)&lt;0.029)</formula>
    </cfRule>
    <cfRule type="expression" dxfId="127" priority="111">
      <formula>((N10/N11-1)&gt;=0.029)</formula>
    </cfRule>
    <cfRule type="expression" dxfId="126" priority="112">
      <formula>((N10/N11-1)&lt;=-0.029)</formula>
    </cfRule>
  </conditionalFormatting>
  <conditionalFormatting sqref="J6">
    <cfRule type="expression" dxfId="125" priority="134">
      <formula>AND((J6-J7)&gt;-0.029,(J6-J7)&lt;0.029)</formula>
    </cfRule>
    <cfRule type="expression" dxfId="124" priority="135">
      <formula>((J6/J7-1)&gt;=0.029)</formula>
    </cfRule>
    <cfRule type="expression" dxfId="123" priority="136">
      <formula>((J6/J7-1)&lt;=-0.029)</formula>
    </cfRule>
  </conditionalFormatting>
  <conditionalFormatting sqref="L6">
    <cfRule type="expression" dxfId="122" priority="131">
      <formula>AND((L6-L7)&gt;-0.029,(L6-L7)&lt;0.029)</formula>
    </cfRule>
    <cfRule type="expression" dxfId="121" priority="132">
      <formula>((L6/L7-1)&gt;=0.029)</formula>
    </cfRule>
    <cfRule type="expression" dxfId="120" priority="133">
      <formula>((L6/L7-1)&lt;=-0.029)</formula>
    </cfRule>
  </conditionalFormatting>
  <conditionalFormatting sqref="N6">
    <cfRule type="expression" dxfId="119" priority="128">
      <formula>AND((N6-N7)&gt;-0.029,(N6-N7)&lt;0.029)</formula>
    </cfRule>
    <cfRule type="expression" dxfId="118" priority="129">
      <formula>((N6/N7-1)&gt;=0.029)</formula>
    </cfRule>
    <cfRule type="expression" dxfId="117" priority="130">
      <formula>((N6/N7-1)&lt;=-0.029)</formula>
    </cfRule>
  </conditionalFormatting>
  <conditionalFormatting sqref="L10">
    <cfRule type="expression" dxfId="116" priority="113">
      <formula>AND((L10-L11)&gt;-0.029,(L10-L11)&lt;0.029)</formula>
    </cfRule>
    <cfRule type="expression" dxfId="115" priority="114">
      <formula>((L10/L11-1)&gt;=0.029)</formula>
    </cfRule>
    <cfRule type="expression" dxfId="114" priority="115">
      <formula>((L10/L11-1)&lt;=-0.029)</formula>
    </cfRule>
  </conditionalFormatting>
  <conditionalFormatting sqref="J8">
    <cfRule type="expression" dxfId="113" priority="125">
      <formula>AND((J8-J9)&gt;-0.029,(J8-J9)&lt;0.029)</formula>
    </cfRule>
    <cfRule type="expression" dxfId="112" priority="126">
      <formula>((J8/J9-1)&gt;=0.029)</formula>
    </cfRule>
    <cfRule type="expression" dxfId="111" priority="127">
      <formula>((J8/J9-1)&lt;=-0.029)</formula>
    </cfRule>
  </conditionalFormatting>
  <conditionalFormatting sqref="J10">
    <cfRule type="expression" dxfId="110" priority="116">
      <formula>AND((J10-J11)&gt;-0.029,(J10-J11)&lt;0.029)</formula>
    </cfRule>
    <cfRule type="expression" dxfId="109" priority="117">
      <formula>((J10/J11-1)&gt;=0.029)</formula>
    </cfRule>
    <cfRule type="expression" dxfId="108" priority="118">
      <formula>((J10/J11-1)&lt;=-0.029)</formula>
    </cfRule>
  </conditionalFormatting>
  <conditionalFormatting sqref="N16">
    <cfRule type="expression" dxfId="107" priority="98">
      <formula>AND((N16-N17)&gt;-0.029,(N16-N17)&lt;0.029)</formula>
    </cfRule>
    <cfRule type="expression" dxfId="106" priority="99">
      <formula>((N16/N17-1)&gt;=0.029)</formula>
    </cfRule>
    <cfRule type="expression" dxfId="105" priority="100">
      <formula>((N16/N17-1)&lt;=-0.029)</formula>
    </cfRule>
  </conditionalFormatting>
  <conditionalFormatting sqref="E14">
    <cfRule type="expression" dxfId="104" priority="44">
      <formula>AND((E14/E15-1)&gt;-0.029,(E14/E15-1)&lt;0.029)</formula>
    </cfRule>
    <cfRule type="expression" dxfId="103" priority="45">
      <formula>((E14/E15-1)&gt;=0.029)</formula>
    </cfRule>
    <cfRule type="expression" dxfId="102" priority="46">
      <formula>((E14/E15-1)&lt;=-0.029)</formula>
    </cfRule>
  </conditionalFormatting>
  <conditionalFormatting sqref="E12">
    <cfRule type="expression" dxfId="101" priority="53">
      <formula>AND((E12/E13-1)&gt;-0.029,(E12/E13-1)&lt;0.029)</formula>
    </cfRule>
    <cfRule type="expression" dxfId="100" priority="54">
      <formula>((E12/E13-1)&gt;=0.029)</formula>
    </cfRule>
    <cfRule type="expression" dxfId="99" priority="55">
      <formula>((E12/E13-1)&lt;=-0.029)</formula>
    </cfRule>
  </conditionalFormatting>
  <conditionalFormatting sqref="H16">
    <cfRule type="expression" dxfId="98" priority="107">
      <formula>AND((H16-H17)&gt;-0.029,(H16-H17)&lt;0.029)</formula>
    </cfRule>
    <cfRule type="expression" dxfId="97" priority="108">
      <formula>((H16/H17-1)&gt;=0.029)</formula>
    </cfRule>
    <cfRule type="expression" dxfId="96" priority="109">
      <formula>((H16/H17-1)&lt;=-0.029)</formula>
    </cfRule>
  </conditionalFormatting>
  <conditionalFormatting sqref="L16">
    <cfRule type="expression" dxfId="95" priority="101">
      <formula>AND((L16-L17)&gt;-0.029,(L16-L17)&lt;0.029)</formula>
    </cfRule>
    <cfRule type="expression" dxfId="94" priority="102">
      <formula>((L16/L17-1)&gt;=0.029)</formula>
    </cfRule>
    <cfRule type="expression" dxfId="93" priority="103">
      <formula>((L16/L17-1)&lt;=-0.029)</formula>
    </cfRule>
  </conditionalFormatting>
  <conditionalFormatting sqref="N18">
    <cfRule type="expression" dxfId="92" priority="86">
      <formula>AND((N18-N19)&gt;-0.029,(N18-N19)&lt;0.029)</formula>
    </cfRule>
    <cfRule type="expression" dxfId="91" priority="87">
      <formula>((N18/N19-1)&gt;=0.029)</formula>
    </cfRule>
    <cfRule type="expression" dxfId="90" priority="88">
      <formula>((N18/N19-1)&lt;=-0.029)</formula>
    </cfRule>
  </conditionalFormatting>
  <conditionalFormatting sqref="C12">
    <cfRule type="expression" dxfId="89" priority="56">
      <formula>AND((C12/C13-1)&gt;-0.029,(C12/C13-1)&lt;0.029)</formula>
    </cfRule>
    <cfRule type="expression" dxfId="88" priority="57">
      <formula>((C12/C13-1)&gt;=0.029)</formula>
    </cfRule>
    <cfRule type="expression" dxfId="87" priority="58">
      <formula>((C12/C13-1)&lt;=-0.029)</formula>
    </cfRule>
  </conditionalFormatting>
  <conditionalFormatting sqref="C8">
    <cfRule type="expression" dxfId="86" priority="74">
      <formula>AND((C8/C9-1)&gt;-0.029,(C8/C9-1)&lt;0.029)</formula>
    </cfRule>
    <cfRule type="expression" dxfId="85" priority="75">
      <formula>((C8/C9-1)&gt;=0.029)</formula>
    </cfRule>
    <cfRule type="expression" dxfId="84" priority="76">
      <formula>((C8/C9-1)&lt;=-0.029)</formula>
    </cfRule>
  </conditionalFormatting>
  <conditionalFormatting sqref="E8">
    <cfRule type="expression" dxfId="83" priority="71">
      <formula>AND((E8/E9-1)&gt;-0.029,(E8/E9-1)&lt;0.029)</formula>
    </cfRule>
    <cfRule type="expression" dxfId="82" priority="72">
      <formula>((E8/E9-1)&gt;=0.029)</formula>
    </cfRule>
    <cfRule type="expression" dxfId="81" priority="73">
      <formula>((E8/E9-1)&lt;=-0.029)</formula>
    </cfRule>
  </conditionalFormatting>
  <conditionalFormatting sqref="F8">
    <cfRule type="expression" dxfId="80" priority="68">
      <formula>AND((F8-F9)&gt;-0.029,(F8-F9)&lt;0.029)</formula>
    </cfRule>
    <cfRule type="expression" dxfId="79" priority="69">
      <formula>((F8/F9-1)&gt;=0.029)</formula>
    </cfRule>
    <cfRule type="expression" dxfId="78" priority="70">
      <formula>((F8/F9-1)&lt;=-0.029)</formula>
    </cfRule>
  </conditionalFormatting>
  <conditionalFormatting sqref="C10">
    <cfRule type="expression" dxfId="77" priority="65">
      <formula>AND((C10/C11-1)&gt;-0.029,(C10/C11-1)&lt;0.029)</formula>
    </cfRule>
    <cfRule type="expression" dxfId="76" priority="66">
      <formula>((C10/C11-1)&gt;=0.029)</formula>
    </cfRule>
    <cfRule type="expression" dxfId="75" priority="67">
      <formula>((C10/C11-1)&lt;=-0.029)</formula>
    </cfRule>
  </conditionalFormatting>
  <conditionalFormatting sqref="E10">
    <cfRule type="expression" dxfId="74" priority="62">
      <formula>AND((E10/E11-1)&gt;-0.029,(E10/E11-1)&lt;0.029)</formula>
    </cfRule>
    <cfRule type="expression" dxfId="73" priority="63">
      <formula>((E10/E11-1)&gt;=0.029)</formula>
    </cfRule>
    <cfRule type="expression" dxfId="72" priority="64">
      <formula>((E10/E11-1)&lt;=-0.029)</formula>
    </cfRule>
  </conditionalFormatting>
  <conditionalFormatting sqref="F10">
    <cfRule type="expression" dxfId="71" priority="59">
      <formula>AND((F10-F11)&gt;-0.029,(F10-F11)&lt;0.029)</formula>
    </cfRule>
    <cfRule type="expression" dxfId="70" priority="60">
      <formula>((F10/F11-1)&gt;=0.029)</formula>
    </cfRule>
    <cfRule type="expression" dxfId="69" priority="61">
      <formula>((F10/F11-1)&lt;=-0.029)</formula>
    </cfRule>
  </conditionalFormatting>
  <conditionalFormatting sqref="F12">
    <cfRule type="expression" dxfId="68" priority="50">
      <formula>AND((F12-F13)&gt;-0.029,(F12-F13)&lt;0.029)</formula>
    </cfRule>
    <cfRule type="expression" dxfId="67" priority="51">
      <formula>((F12/F13-1)&gt;=0.029)</formula>
    </cfRule>
    <cfRule type="expression" dxfId="66" priority="52">
      <formula>((F12/F13-1)&lt;=-0.029)</formula>
    </cfRule>
  </conditionalFormatting>
  <conditionalFormatting sqref="C14">
    <cfRule type="expression" dxfId="65" priority="47">
      <formula>AND((C14/C15-1)&gt;-0.029,(C14/C15-1)&lt;0.029)</formula>
    </cfRule>
    <cfRule type="expression" dxfId="64" priority="48">
      <formula>((C14/C15-1)&gt;=0.029)</formula>
    </cfRule>
    <cfRule type="expression" dxfId="63" priority="49">
      <formula>((C14/C15-1)&lt;=-0.029)</formula>
    </cfRule>
  </conditionalFormatting>
  <conditionalFormatting sqref="F14">
    <cfRule type="expression" dxfId="62" priority="41">
      <formula>AND((F14-F15)&gt;-0.029,(F14-F15)&lt;0.029)</formula>
    </cfRule>
    <cfRule type="expression" dxfId="61" priority="42">
      <formula>((F14/F15-1)&gt;=0.029)</formula>
    </cfRule>
    <cfRule type="expression" dxfId="60" priority="43">
      <formula>((F14/F15-1)&lt;=-0.029)</formula>
    </cfRule>
  </conditionalFormatting>
  <conditionalFormatting sqref="C16">
    <cfRule type="expression" dxfId="59" priority="38">
      <formula>AND((C16/C17-1)&gt;-0.029,(C16/C17-1)&lt;0.029)</formula>
    </cfRule>
    <cfRule type="expression" dxfId="58" priority="39">
      <formula>((C16/C17-1)&gt;=0.029)</formula>
    </cfRule>
    <cfRule type="expression" dxfId="57" priority="40">
      <formula>((C16/C17-1)&lt;=-0.029)</formula>
    </cfRule>
  </conditionalFormatting>
  <conditionalFormatting sqref="E16">
    <cfRule type="expression" dxfId="56" priority="35">
      <formula>AND((E16/E17-1)&gt;-0.029,(E16/E17-1)&lt;0.029)</formula>
    </cfRule>
    <cfRule type="expression" dxfId="55" priority="36">
      <formula>((E16/E17-1)&gt;=0.029)</formula>
    </cfRule>
    <cfRule type="expression" dxfId="54" priority="37">
      <formula>((E16/E17-1)&lt;=-0.029)</formula>
    </cfRule>
  </conditionalFormatting>
  <conditionalFormatting sqref="F16">
    <cfRule type="expression" dxfId="53" priority="32">
      <formula>AND((F16-F17)&gt;-0.029,(F16-F17)&lt;0.029)</formula>
    </cfRule>
    <cfRule type="expression" dxfId="52" priority="33">
      <formula>((F16/F17-1)&gt;=0.029)</formula>
    </cfRule>
    <cfRule type="expression" dxfId="51" priority="34">
      <formula>((F16/F17-1)&lt;=-0.029)</formula>
    </cfRule>
  </conditionalFormatting>
  <conditionalFormatting sqref="C18">
    <cfRule type="expression" dxfId="50" priority="29">
      <formula>AND((C18/C19-1)&gt;-0.029,(C18/C19-1)&lt;0.029)</formula>
    </cfRule>
    <cfRule type="expression" dxfId="49" priority="30">
      <formula>((C18/C19-1)&gt;=0.029)</formula>
    </cfRule>
    <cfRule type="expression" dxfId="48" priority="31">
      <formula>((C18/C19-1)&lt;=-0.029)</formula>
    </cfRule>
  </conditionalFormatting>
  <conditionalFormatting sqref="E18">
    <cfRule type="expression" dxfId="47" priority="26">
      <formula>AND((E18/E19-1)&gt;-0.029,(E18/E19-1)&lt;0.029)</formula>
    </cfRule>
    <cfRule type="expression" dxfId="46" priority="27">
      <formula>((E18/E19-1)&gt;=0.029)</formula>
    </cfRule>
    <cfRule type="expression" dxfId="45" priority="28">
      <formula>((E18/E19-1)&lt;=-0.029)</formula>
    </cfRule>
  </conditionalFormatting>
  <conditionalFormatting sqref="F18">
    <cfRule type="expression" dxfId="44" priority="23">
      <formula>AND((F18-F19)&gt;-0.029,(F18-F19)&lt;0.029)</formula>
    </cfRule>
    <cfRule type="expression" dxfId="43" priority="24">
      <formula>((F18/F19-1)&gt;=0.029)</formula>
    </cfRule>
    <cfRule type="expression" dxfId="42" priority="25">
      <formula>((F18/F19-1)&lt;=-0.029)</formula>
    </cfRule>
  </conditionalFormatting>
  <conditionalFormatting sqref="N12">
    <cfRule type="expression" dxfId="41" priority="14">
      <formula>AND((N12-N13)&gt;-0.029,(N12-N13)&lt;0.029)</formula>
    </cfRule>
    <cfRule type="expression" dxfId="40" priority="15">
      <formula>((N12/N13-1)&gt;=0.029)</formula>
    </cfRule>
    <cfRule type="expression" dxfId="39" priority="16">
      <formula>((N12/N13-1)&lt;=-0.029)</formula>
    </cfRule>
  </conditionalFormatting>
  <conditionalFormatting sqref="L12">
    <cfRule type="expression" dxfId="38" priority="17">
      <formula>AND((L12-L13)&gt;-0.029,(L12-L13)&lt;0.029)</formula>
    </cfRule>
    <cfRule type="expression" dxfId="37" priority="18">
      <formula>((L12/L13-1)&gt;=0.029)</formula>
    </cfRule>
    <cfRule type="expression" dxfId="36" priority="19">
      <formula>((L12/L13-1)&lt;=-0.029)</formula>
    </cfRule>
  </conditionalFormatting>
  <conditionalFormatting sqref="J12">
    <cfRule type="expression" dxfId="35" priority="20">
      <formula>AND((J12-J13)&gt;-0.029,(J12-J13)&lt;0.029)</formula>
    </cfRule>
    <cfRule type="expression" dxfId="34" priority="21">
      <formula>((J12/J13-1)&gt;=0.029)</formula>
    </cfRule>
    <cfRule type="expression" dxfId="33" priority="22">
      <formula>((J12/J13-1)&lt;=-0.029)</formula>
    </cfRule>
  </conditionalFormatting>
  <conditionalFormatting sqref="N14">
    <cfRule type="expression" dxfId="32" priority="5">
      <formula>AND((N14-N15)&gt;-0.029,(N14-N15)&lt;0.029)</formula>
    </cfRule>
    <cfRule type="expression" dxfId="31" priority="6">
      <formula>((N14/N15-1)&gt;=0.029)</formula>
    </cfRule>
    <cfRule type="expression" dxfId="30" priority="7">
      <formula>((N14/N15-1)&lt;=-0.029)</formula>
    </cfRule>
  </conditionalFormatting>
  <conditionalFormatting sqref="L14">
    <cfRule type="expression" dxfId="29" priority="8">
      <formula>AND((L14-L15)&gt;-0.029,(L14-L15)&lt;0.029)</formula>
    </cfRule>
    <cfRule type="expression" dxfId="28" priority="9">
      <formula>((L14/L15-1)&gt;=0.029)</formula>
    </cfRule>
    <cfRule type="expression" dxfId="27" priority="10">
      <formula>((L14/L15-1)&lt;=-0.029)</formula>
    </cfRule>
  </conditionalFormatting>
  <conditionalFormatting sqref="J14">
    <cfRule type="expression" dxfId="26" priority="11">
      <formula>AND((J14-J15)&gt;-0.029,(J14-J15)&lt;0.029)</formula>
    </cfRule>
    <cfRule type="expression" dxfId="25" priority="12">
      <formula>((J14/J15-1)&gt;=0.029)</formula>
    </cfRule>
    <cfRule type="expression" dxfId="24" priority="13">
      <formula>((J14/J15-1)&lt;=-0.029)</formula>
    </cfRule>
  </conditionalFormatting>
  <conditionalFormatting sqref="G6:G19">
    <cfRule type="iconSet" priority="4">
      <iconSet iconSet="3Arrows" showValue="0">
        <cfvo type="percent" val="0"/>
        <cfvo type="num" val="-0.03"/>
        <cfvo type="num" val="0.03"/>
      </iconSet>
    </cfRule>
  </conditionalFormatting>
  <conditionalFormatting sqref="I6:I19">
    <cfRule type="iconSet" priority="3">
      <iconSet iconSet="3Arrows" showValue="0">
        <cfvo type="percent" val="0"/>
        <cfvo type="num" val="-0.03"/>
        <cfvo type="num" val="0.03"/>
      </iconSet>
    </cfRule>
  </conditionalFormatting>
  <conditionalFormatting sqref="K6:K19">
    <cfRule type="iconSet" priority="2">
      <iconSet iconSet="3Arrows" showValue="0">
        <cfvo type="percent" val="0"/>
        <cfvo type="num" val="-0.03"/>
        <cfvo type="num" val="0.03"/>
      </iconSet>
    </cfRule>
  </conditionalFormatting>
  <conditionalFormatting sqref="M6:M19">
    <cfRule type="iconSet" priority="1">
      <iconSet iconSet="3Arrows" showValue="0">
        <cfvo type="percent" val="0"/>
        <cfvo type="num" val="-0.03"/>
        <cfvo type="num" val="0.03"/>
      </iconSet>
    </cfRule>
  </conditionalFormatting>
  <printOptions verticalCentered="1"/>
  <pageMargins left="0.19685039370078741" right="0.19685039370078741" top="0.19685039370078741" bottom="0.19685039370078741" header="0" footer="0"/>
  <pageSetup paperSize="9" scale="42" orientation="portrait" r:id="rId1"/>
  <drawing r:id="rId2"/>
  <legacyDrawing r:id="rId3"/>
  <controls>
    <mc:AlternateContent xmlns:mc="http://schemas.openxmlformats.org/markup-compatibility/2006">
      <mc:Choice Requires="x14">
        <control shapeId="20481" r:id="rId4" name="CommandButton1">
          <controlPr defaultSize="0" autoLine="0" r:id="rId5">
            <anchor moveWithCells="1">
              <from>
                <xdr:col>16</xdr:col>
                <xdr:colOff>590550</xdr:colOff>
                <xdr:row>0</xdr:row>
                <xdr:rowOff>209550</xdr:rowOff>
              </from>
              <to>
                <xdr:col>19</xdr:col>
                <xdr:colOff>257175</xdr:colOff>
                <xdr:row>2</xdr:row>
                <xdr:rowOff>180975</xdr:rowOff>
              </to>
            </anchor>
          </controlPr>
        </control>
      </mc:Choice>
      <mc:Fallback>
        <control shapeId="20481" r:id="rId4" name="Command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3">
    <tabColor rgb="FF92D050"/>
    <pageSetUpPr fitToPage="1"/>
  </sheetPr>
  <dimension ref="A1:EG988"/>
  <sheetViews>
    <sheetView view="pageBreakPreview" zoomScale="80" zoomScaleNormal="50" zoomScaleSheetLayoutView="80" workbookViewId="0">
      <selection activeCell="A7" sqref="A7:XFD7"/>
    </sheetView>
  </sheetViews>
  <sheetFormatPr defaultRowHeight="15" x14ac:dyDescent="0.25"/>
  <cols>
    <col min="1" max="5" width="13.7109375" style="8" customWidth="1"/>
    <col min="6" max="6" width="11.85546875" style="8" customWidth="1"/>
    <col min="7" max="7" width="9.140625" style="8"/>
    <col min="8" max="8" width="8.85546875" style="8" customWidth="1"/>
    <col min="9" max="16384" width="9.140625" style="8"/>
  </cols>
  <sheetData>
    <row r="1" spans="1:137" s="1" customFormat="1" ht="21" x14ac:dyDescent="0.35">
      <c r="A1" s="135"/>
      <c r="B1" s="135"/>
      <c r="C1" s="135"/>
      <c r="D1" s="135"/>
      <c r="E1" s="135"/>
    </row>
    <row r="2" spans="1:137" s="1" customFormat="1" ht="22.5" x14ac:dyDescent="0.35">
      <c r="A2" s="122"/>
      <c r="B2" s="122"/>
      <c r="C2" s="122"/>
      <c r="D2" s="122"/>
      <c r="E2" s="122"/>
    </row>
    <row r="3" spans="1:137" x14ac:dyDescent="0.25">
      <c r="A3" s="2"/>
      <c r="B3" s="2"/>
      <c r="C3" s="2"/>
      <c r="D3" s="2"/>
      <c r="E3" s="2"/>
    </row>
    <row r="4" spans="1:137" ht="30" customHeight="1" x14ac:dyDescent="0.25">
      <c r="A4" s="68"/>
      <c r="B4" s="60"/>
      <c r="C4" s="60"/>
      <c r="D4" s="60"/>
      <c r="E4" s="59"/>
    </row>
    <row r="5" spans="1:137" ht="79.5" customHeight="1" x14ac:dyDescent="0.25">
      <c r="A5" s="69"/>
      <c r="B5" s="59" t="s">
        <v>32</v>
      </c>
      <c r="C5" s="59" t="s">
        <v>33</v>
      </c>
      <c r="D5" s="59" t="s">
        <v>34</v>
      </c>
      <c r="E5" s="59" t="s">
        <v>35</v>
      </c>
    </row>
    <row r="6" spans="1:137" s="17" customFormat="1" ht="15" customHeight="1" x14ac:dyDescent="0.25">
      <c r="A6" s="52">
        <v>2019</v>
      </c>
      <c r="B6" s="43">
        <v>0.15084097120598888</v>
      </c>
      <c r="C6" s="62">
        <v>36.407868875510104</v>
      </c>
      <c r="D6" s="62">
        <v>45.17290234487141</v>
      </c>
      <c r="E6" s="62">
        <v>18.2</v>
      </c>
      <c r="F6" s="67">
        <f>B6+C6+D6</f>
        <v>81.731612191587502</v>
      </c>
      <c r="G6" s="8"/>
      <c r="H6" s="11"/>
      <c r="I6" s="12"/>
      <c r="J6" s="8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</row>
    <row r="7" spans="1:137" s="14" customFormat="1" ht="15" customHeight="1" x14ac:dyDescent="0.25">
      <c r="A7" s="51">
        <v>2020</v>
      </c>
      <c r="B7" s="64">
        <v>0</v>
      </c>
      <c r="C7" s="64">
        <v>32.74</v>
      </c>
      <c r="D7" s="64">
        <v>46.61</v>
      </c>
      <c r="E7" s="64">
        <v>20.65</v>
      </c>
      <c r="F7" s="67">
        <f>B7+C7+D7</f>
        <v>79.349999999999994</v>
      </c>
      <c r="G7" s="10"/>
      <c r="H7" s="11"/>
      <c r="I7" s="12"/>
      <c r="J7" s="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</row>
    <row r="8" spans="1:137" s="14" customFormat="1" ht="15" customHeight="1" x14ac:dyDescent="0.25">
      <c r="A8" s="64"/>
      <c r="B8" s="64"/>
      <c r="C8" s="64">
        <v>37.090000000000003</v>
      </c>
      <c r="D8" s="64">
        <v>47.93</v>
      </c>
      <c r="E8" s="64">
        <v>14.98</v>
      </c>
      <c r="F8" s="19"/>
      <c r="G8" s="8"/>
      <c r="H8" s="8"/>
      <c r="I8" s="8"/>
      <c r="J8" s="8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</row>
    <row r="9" spans="1:137" s="14" customFormat="1" ht="15" customHeight="1" x14ac:dyDescent="0.25">
      <c r="A9" s="53"/>
      <c r="B9" s="45"/>
      <c r="C9" s="62">
        <v>32.559179527886762</v>
      </c>
      <c r="D9" s="62">
        <v>48.546782042112305</v>
      </c>
      <c r="E9" s="62">
        <v>18.894038430000919</v>
      </c>
      <c r="F9" s="19"/>
      <c r="G9" s="8"/>
      <c r="H9" s="8"/>
      <c r="I9" s="8"/>
      <c r="J9" s="8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</row>
    <row r="10" spans="1:137" s="14" customFormat="1" ht="15" customHeight="1" x14ac:dyDescent="0.25">
      <c r="A10" s="65"/>
      <c r="B10" s="65"/>
      <c r="C10" s="65">
        <v>35.090000000000003</v>
      </c>
      <c r="D10" s="65">
        <v>46.71</v>
      </c>
      <c r="E10" s="65">
        <v>18.2</v>
      </c>
      <c r="F10" s="19"/>
      <c r="G10" s="8"/>
      <c r="H10" s="8"/>
      <c r="I10" s="8"/>
      <c r="J10" s="8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</row>
    <row r="11" spans="1:137" s="14" customFormat="1" ht="15" customHeight="1" x14ac:dyDescent="0.25">
      <c r="A11" s="70"/>
      <c r="B11" s="61"/>
      <c r="C11" s="63">
        <v>28.079777254639538</v>
      </c>
      <c r="D11" s="63">
        <v>51.440555429418154</v>
      </c>
      <c r="E11" s="63">
        <v>20.479667315942308</v>
      </c>
      <c r="F11" s="19"/>
      <c r="G11" s="8"/>
      <c r="H11" s="8"/>
      <c r="I11" s="8"/>
      <c r="J11" s="8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</row>
    <row r="12" spans="1:137" ht="15" customHeight="1" x14ac:dyDescent="0.25">
      <c r="A12" s="65"/>
      <c r="B12" s="65"/>
      <c r="C12" s="65">
        <v>40.29</v>
      </c>
      <c r="D12" s="65">
        <v>49.87</v>
      </c>
      <c r="E12" s="65">
        <v>9.84</v>
      </c>
      <c r="F12" s="10"/>
    </row>
    <row r="13" spans="1:137" s="18" customFormat="1" ht="15" customHeight="1" x14ac:dyDescent="0.25">
      <c r="A13" s="53"/>
      <c r="B13" s="45"/>
      <c r="C13" s="62">
        <v>38.659933076402261</v>
      </c>
      <c r="D13" s="62">
        <v>44.605586948596418</v>
      </c>
      <c r="E13" s="62">
        <v>16.7344799750013</v>
      </c>
      <c r="F13" s="10"/>
      <c r="G13" s="8"/>
      <c r="H13" s="8"/>
      <c r="I13" s="8"/>
      <c r="J13" s="8"/>
    </row>
    <row r="14" spans="1:137" s="19" customFormat="1" ht="15" customHeight="1" x14ac:dyDescent="0.25">
      <c r="A14" s="64"/>
      <c r="B14" s="64">
        <v>0</v>
      </c>
      <c r="C14" s="64">
        <v>28.67</v>
      </c>
      <c r="D14" s="64">
        <v>45.39</v>
      </c>
      <c r="E14" s="64">
        <v>25.94</v>
      </c>
      <c r="F14" s="10"/>
      <c r="G14" s="8"/>
      <c r="H14" s="8"/>
      <c r="I14" s="8"/>
      <c r="J14" s="8"/>
    </row>
    <row r="15" spans="1:137" s="19" customFormat="1" ht="15" customHeight="1" x14ac:dyDescent="0.25">
      <c r="A15" s="53"/>
      <c r="B15" s="45">
        <v>0.23787410874776868</v>
      </c>
      <c r="C15" s="62">
        <v>40.258986297761844</v>
      </c>
      <c r="D15" s="62">
        <v>41.796894122578941</v>
      </c>
      <c r="E15" s="62">
        <v>17.706245470911437</v>
      </c>
      <c r="F15" s="10"/>
      <c r="G15" s="8"/>
      <c r="H15" s="8"/>
      <c r="I15" s="8"/>
      <c r="J15" s="8"/>
    </row>
    <row r="16" spans="1:137" ht="15" customHeight="1" x14ac:dyDescent="0.25">
      <c r="A16" s="65"/>
      <c r="B16" s="65">
        <v>0</v>
      </c>
      <c r="C16" s="65">
        <v>28.67</v>
      </c>
      <c r="D16" s="65">
        <v>45.39</v>
      </c>
      <c r="E16" s="65">
        <v>25.94</v>
      </c>
      <c r="F16" s="10"/>
    </row>
    <row r="17" spans="1:7" ht="15" customHeight="1" x14ac:dyDescent="0.25">
      <c r="A17" s="53"/>
      <c r="B17" s="45">
        <v>0.23</v>
      </c>
      <c r="C17" s="62">
        <v>40.258986297761844</v>
      </c>
      <c r="D17" s="62">
        <v>41.796894122578941</v>
      </c>
      <c r="E17" s="66">
        <v>17.706245470911437</v>
      </c>
      <c r="F17" s="10"/>
    </row>
    <row r="18" spans="1:7" x14ac:dyDescent="0.25">
      <c r="A18"/>
      <c r="B18"/>
      <c r="C18"/>
      <c r="D18"/>
      <c r="E18"/>
      <c r="F18" s="10"/>
    </row>
    <row r="19" spans="1:7" x14ac:dyDescent="0.25">
      <c r="A19" s="27"/>
      <c r="B19" s="27"/>
      <c r="C19" s="27"/>
      <c r="D19" s="20" t="s">
        <v>30</v>
      </c>
      <c r="E19" s="22" t="s">
        <v>31</v>
      </c>
      <c r="F19" s="54"/>
      <c r="G19" s="20" t="s">
        <v>30</v>
      </c>
    </row>
    <row r="20" spans="1:7" x14ac:dyDescent="0.25">
      <c r="A20" s="27"/>
      <c r="B20" s="27"/>
      <c r="C20" s="27"/>
      <c r="D20" s="27"/>
      <c r="E20" s="27"/>
      <c r="F20" s="27"/>
      <c r="G20" s="27"/>
    </row>
    <row r="21" spans="1:7" x14ac:dyDescent="0.25">
      <c r="A21" s="27"/>
      <c r="B21" s="27"/>
      <c r="C21" s="27"/>
      <c r="D21" s="27"/>
      <c r="E21" s="27"/>
      <c r="F21" s="55"/>
      <c r="G21" s="56"/>
    </row>
    <row r="22" spans="1:7" ht="18.75" x14ac:dyDescent="0.3">
      <c r="A22" s="27"/>
      <c r="B22" s="27"/>
      <c r="C22" s="27"/>
      <c r="D22" s="27"/>
      <c r="E22" s="27"/>
      <c r="F22" s="57"/>
      <c r="G22" s="58"/>
    </row>
    <row r="23" spans="1:7" x14ac:dyDescent="0.25">
      <c r="A23"/>
      <c r="B23"/>
      <c r="C23"/>
      <c r="D23"/>
      <c r="E23"/>
    </row>
    <row r="24" spans="1:7" x14ac:dyDescent="0.25">
      <c r="A24"/>
      <c r="B24"/>
      <c r="C24"/>
      <c r="D24"/>
      <c r="E24"/>
    </row>
    <row r="25" spans="1:7" x14ac:dyDescent="0.25">
      <c r="A25"/>
      <c r="B25"/>
      <c r="C25"/>
      <c r="D25"/>
      <c r="E25"/>
    </row>
    <row r="26" spans="1:7" x14ac:dyDescent="0.25">
      <c r="A26"/>
      <c r="B26"/>
      <c r="C26"/>
      <c r="D26"/>
      <c r="E26"/>
    </row>
    <row r="27" spans="1:7" x14ac:dyDescent="0.25">
      <c r="A27"/>
      <c r="B27"/>
      <c r="C27"/>
      <c r="D27"/>
      <c r="E27"/>
    </row>
    <row r="28" spans="1:7" x14ac:dyDescent="0.25">
      <c r="A28"/>
      <c r="B28"/>
      <c r="C28"/>
      <c r="D28"/>
      <c r="E28"/>
    </row>
    <row r="29" spans="1:7" x14ac:dyDescent="0.25">
      <c r="A29"/>
      <c r="B29"/>
      <c r="C29"/>
      <c r="D29"/>
      <c r="E29"/>
    </row>
    <row r="30" spans="1:7" x14ac:dyDescent="0.25">
      <c r="A30"/>
      <c r="B30"/>
      <c r="C30"/>
      <c r="D30"/>
      <c r="E30"/>
    </row>
    <row r="31" spans="1:7" x14ac:dyDescent="0.25">
      <c r="A31"/>
      <c r="B31"/>
      <c r="C31"/>
      <c r="D31"/>
      <c r="E31"/>
    </row>
    <row r="32" spans="1:7" x14ac:dyDescent="0.25">
      <c r="A32"/>
      <c r="B32"/>
      <c r="C32"/>
      <c r="D32"/>
      <c r="E32"/>
    </row>
    <row r="33" spans="1:5" x14ac:dyDescent="0.25">
      <c r="A33"/>
      <c r="B33"/>
      <c r="C33"/>
      <c r="D33"/>
      <c r="E33"/>
    </row>
    <row r="34" spans="1:5" x14ac:dyDescent="0.25">
      <c r="A34"/>
      <c r="B34"/>
      <c r="C34"/>
      <c r="D34"/>
      <c r="E34"/>
    </row>
    <row r="35" spans="1:5" x14ac:dyDescent="0.25">
      <c r="A35"/>
      <c r="B35"/>
      <c r="C35"/>
      <c r="D35"/>
      <c r="E35"/>
    </row>
    <row r="36" spans="1:5" x14ac:dyDescent="0.25">
      <c r="A36"/>
      <c r="B36"/>
      <c r="C36"/>
      <c r="D36"/>
      <c r="E36"/>
    </row>
    <row r="37" spans="1:5" x14ac:dyDescent="0.25">
      <c r="A37"/>
      <c r="B37"/>
      <c r="C37"/>
      <c r="D37"/>
      <c r="E37"/>
    </row>
    <row r="38" spans="1:5" x14ac:dyDescent="0.25">
      <c r="A38"/>
      <c r="B38"/>
      <c r="C38"/>
      <c r="D38"/>
      <c r="E38"/>
    </row>
    <row r="39" spans="1:5" x14ac:dyDescent="0.25">
      <c r="A39"/>
      <c r="B39"/>
      <c r="C39"/>
      <c r="D39"/>
      <c r="E39"/>
    </row>
    <row r="40" spans="1:5" x14ac:dyDescent="0.25">
      <c r="A40"/>
      <c r="B40"/>
      <c r="C40"/>
      <c r="D40"/>
      <c r="E40"/>
    </row>
    <row r="41" spans="1:5" x14ac:dyDescent="0.25">
      <c r="A41"/>
      <c r="B41"/>
      <c r="C41"/>
      <c r="D41"/>
      <c r="E41"/>
    </row>
    <row r="42" spans="1:5" x14ac:dyDescent="0.25">
      <c r="A42"/>
      <c r="B42"/>
      <c r="C42"/>
      <c r="D42"/>
      <c r="E42"/>
    </row>
    <row r="43" spans="1:5" x14ac:dyDescent="0.25">
      <c r="A43"/>
      <c r="B43"/>
      <c r="C43"/>
      <c r="D43"/>
      <c r="E43"/>
    </row>
    <row r="44" spans="1:5" x14ac:dyDescent="0.25">
      <c r="A44"/>
      <c r="B44"/>
      <c r="C44"/>
      <c r="D44"/>
      <c r="E44"/>
    </row>
    <row r="45" spans="1:5" x14ac:dyDescent="0.25">
      <c r="A45"/>
      <c r="B45"/>
      <c r="C45"/>
      <c r="D45"/>
      <c r="E45"/>
    </row>
    <row r="46" spans="1:5" x14ac:dyDescent="0.25">
      <c r="A46"/>
      <c r="B46"/>
      <c r="C46"/>
      <c r="D46"/>
      <c r="E46"/>
    </row>
    <row r="47" spans="1:5" x14ac:dyDescent="0.25">
      <c r="A47"/>
      <c r="B47"/>
      <c r="C47"/>
      <c r="D47"/>
      <c r="E47"/>
    </row>
    <row r="48" spans="1:5" x14ac:dyDescent="0.25">
      <c r="A48"/>
      <c r="B48"/>
      <c r="C48"/>
      <c r="D48"/>
      <c r="E48"/>
    </row>
    <row r="49" spans="1:5" x14ac:dyDescent="0.25">
      <c r="A49"/>
      <c r="B49"/>
      <c r="C49"/>
      <c r="D49"/>
      <c r="E49"/>
    </row>
    <row r="50" spans="1:5" x14ac:dyDescent="0.25">
      <c r="A50"/>
      <c r="B50"/>
      <c r="C50"/>
      <c r="D50"/>
      <c r="E50"/>
    </row>
    <row r="51" spans="1:5" x14ac:dyDescent="0.25">
      <c r="A51"/>
      <c r="B51"/>
      <c r="C51"/>
      <c r="D51"/>
      <c r="E51"/>
    </row>
    <row r="52" spans="1:5" x14ac:dyDescent="0.25">
      <c r="A52"/>
      <c r="B52"/>
      <c r="C52"/>
      <c r="D52"/>
      <c r="E52"/>
    </row>
    <row r="53" spans="1:5" x14ac:dyDescent="0.25">
      <c r="A53"/>
      <c r="B53"/>
      <c r="C53"/>
      <c r="D53"/>
      <c r="E53"/>
    </row>
    <row r="54" spans="1:5" x14ac:dyDescent="0.25">
      <c r="A54"/>
      <c r="B54"/>
      <c r="C54"/>
      <c r="D54"/>
      <c r="E54"/>
    </row>
    <row r="55" spans="1:5" x14ac:dyDescent="0.25">
      <c r="A55"/>
      <c r="B55"/>
      <c r="C55"/>
      <c r="D55"/>
      <c r="E55"/>
    </row>
    <row r="56" spans="1:5" x14ac:dyDescent="0.25">
      <c r="A56"/>
      <c r="B56"/>
      <c r="C56"/>
      <c r="D56"/>
      <c r="E56"/>
    </row>
    <row r="57" spans="1:5" x14ac:dyDescent="0.25">
      <c r="A57"/>
      <c r="B57"/>
      <c r="C57"/>
      <c r="D57"/>
      <c r="E57"/>
    </row>
    <row r="58" spans="1:5" x14ac:dyDescent="0.25">
      <c r="A58"/>
      <c r="B58"/>
      <c r="C58"/>
      <c r="D58"/>
      <c r="E58"/>
    </row>
    <row r="59" spans="1:5" x14ac:dyDescent="0.25">
      <c r="A59"/>
      <c r="B59"/>
      <c r="C59"/>
      <c r="D59"/>
      <c r="E59"/>
    </row>
    <row r="60" spans="1:5" x14ac:dyDescent="0.25">
      <c r="A60"/>
      <c r="B60"/>
      <c r="C60"/>
      <c r="D60"/>
      <c r="E60"/>
    </row>
    <row r="61" spans="1:5" x14ac:dyDescent="0.25">
      <c r="A61"/>
      <c r="B61"/>
      <c r="C61"/>
      <c r="D61"/>
      <c r="E61"/>
    </row>
    <row r="62" spans="1:5" x14ac:dyDescent="0.25">
      <c r="A62"/>
      <c r="B62"/>
      <c r="C62"/>
      <c r="D62"/>
      <c r="E62"/>
    </row>
    <row r="63" spans="1:5" x14ac:dyDescent="0.25">
      <c r="A63"/>
      <c r="B63"/>
      <c r="C63"/>
      <c r="D63"/>
      <c r="E63"/>
    </row>
    <row r="64" spans="1:5" x14ac:dyDescent="0.25">
      <c r="A64"/>
      <c r="B64"/>
      <c r="C64"/>
      <c r="D64"/>
      <c r="E64"/>
    </row>
    <row r="65" spans="1:5" x14ac:dyDescent="0.25">
      <c r="A65"/>
      <c r="B65"/>
      <c r="C65"/>
      <c r="D65"/>
      <c r="E65"/>
    </row>
    <row r="66" spans="1:5" x14ac:dyDescent="0.25">
      <c r="A66"/>
      <c r="B66"/>
      <c r="C66"/>
      <c r="D66"/>
      <c r="E66"/>
    </row>
    <row r="67" spans="1:5" x14ac:dyDescent="0.25">
      <c r="A67"/>
      <c r="B67"/>
      <c r="C67"/>
      <c r="D67"/>
      <c r="E67"/>
    </row>
    <row r="68" spans="1:5" x14ac:dyDescent="0.25">
      <c r="A68"/>
      <c r="B68"/>
      <c r="C68"/>
      <c r="D68"/>
      <c r="E68"/>
    </row>
    <row r="69" spans="1:5" x14ac:dyDescent="0.25">
      <c r="A69"/>
      <c r="B69"/>
      <c r="C69"/>
      <c r="D69"/>
      <c r="E69"/>
    </row>
    <row r="70" spans="1:5" x14ac:dyDescent="0.25">
      <c r="A70"/>
      <c r="B70"/>
      <c r="C70"/>
      <c r="D70"/>
      <c r="E70"/>
    </row>
    <row r="71" spans="1:5" x14ac:dyDescent="0.25">
      <c r="A71"/>
      <c r="B71"/>
      <c r="C71"/>
      <c r="D71"/>
      <c r="E71"/>
    </row>
    <row r="72" spans="1:5" x14ac:dyDescent="0.25">
      <c r="A72"/>
      <c r="B72"/>
      <c r="C72"/>
      <c r="D72"/>
      <c r="E72"/>
    </row>
    <row r="73" spans="1:5" x14ac:dyDescent="0.25">
      <c r="A73"/>
      <c r="B73"/>
      <c r="C73"/>
      <c r="D73"/>
      <c r="E73"/>
    </row>
    <row r="74" spans="1:5" x14ac:dyDescent="0.25">
      <c r="A74"/>
      <c r="B74"/>
      <c r="C74"/>
      <c r="D74"/>
      <c r="E74"/>
    </row>
    <row r="75" spans="1:5" x14ac:dyDescent="0.25">
      <c r="A75"/>
      <c r="B75"/>
      <c r="C75"/>
      <c r="D75"/>
      <c r="E75"/>
    </row>
    <row r="76" spans="1:5" x14ac:dyDescent="0.25">
      <c r="A76"/>
      <c r="B76"/>
      <c r="C76"/>
      <c r="D76"/>
      <c r="E76"/>
    </row>
    <row r="77" spans="1:5" x14ac:dyDescent="0.25">
      <c r="A77"/>
      <c r="B77"/>
      <c r="C77"/>
      <c r="D77"/>
      <c r="E77"/>
    </row>
    <row r="78" spans="1:5" x14ac:dyDescent="0.25">
      <c r="A78"/>
      <c r="B78"/>
      <c r="C78"/>
      <c r="D78"/>
      <c r="E78"/>
    </row>
    <row r="79" spans="1:5" x14ac:dyDescent="0.25">
      <c r="A79"/>
      <c r="B79"/>
      <c r="C79"/>
      <c r="D79"/>
      <c r="E79"/>
    </row>
    <row r="80" spans="1:5" x14ac:dyDescent="0.25">
      <c r="A80"/>
      <c r="B80"/>
      <c r="C80"/>
      <c r="D80"/>
      <c r="E80"/>
    </row>
    <row r="81" spans="1:5" x14ac:dyDescent="0.25">
      <c r="A81"/>
      <c r="B81"/>
      <c r="C81"/>
      <c r="D81"/>
      <c r="E81"/>
    </row>
    <row r="82" spans="1:5" x14ac:dyDescent="0.25">
      <c r="A82"/>
      <c r="B82"/>
      <c r="C82"/>
      <c r="D82"/>
      <c r="E82"/>
    </row>
    <row r="83" spans="1:5" x14ac:dyDescent="0.25">
      <c r="A83"/>
      <c r="B83"/>
      <c r="C83"/>
      <c r="D83"/>
      <c r="E83"/>
    </row>
    <row r="84" spans="1:5" x14ac:dyDescent="0.25">
      <c r="A84"/>
      <c r="B84"/>
      <c r="C84"/>
      <c r="D84"/>
      <c r="E84"/>
    </row>
    <row r="85" spans="1:5" x14ac:dyDescent="0.25">
      <c r="A85"/>
      <c r="B85"/>
      <c r="C85"/>
      <c r="D85"/>
      <c r="E85"/>
    </row>
    <row r="86" spans="1:5" x14ac:dyDescent="0.25">
      <c r="A86"/>
      <c r="B86"/>
      <c r="C86"/>
      <c r="D86"/>
      <c r="E86"/>
    </row>
    <row r="87" spans="1:5" x14ac:dyDescent="0.25">
      <c r="A87"/>
      <c r="B87"/>
      <c r="C87"/>
      <c r="D87"/>
      <c r="E87"/>
    </row>
    <row r="88" spans="1:5" x14ac:dyDescent="0.25">
      <c r="A88"/>
      <c r="B88"/>
      <c r="C88"/>
      <c r="D88"/>
      <c r="E88"/>
    </row>
    <row r="89" spans="1:5" x14ac:dyDescent="0.25">
      <c r="A89"/>
      <c r="B89"/>
      <c r="C89"/>
      <c r="D89"/>
      <c r="E89"/>
    </row>
    <row r="90" spans="1:5" x14ac:dyDescent="0.25">
      <c r="A90"/>
      <c r="B90"/>
      <c r="C90"/>
      <c r="D90"/>
      <c r="E90"/>
    </row>
    <row r="91" spans="1:5" x14ac:dyDescent="0.25">
      <c r="A91"/>
      <c r="B91"/>
      <c r="C91"/>
      <c r="D91"/>
      <c r="E91"/>
    </row>
    <row r="92" spans="1:5" x14ac:dyDescent="0.25">
      <c r="A92"/>
      <c r="B92"/>
      <c r="C92"/>
      <c r="D92"/>
      <c r="E92"/>
    </row>
    <row r="93" spans="1:5" x14ac:dyDescent="0.25">
      <c r="A93"/>
      <c r="B93"/>
      <c r="C93"/>
      <c r="D93"/>
      <c r="E93"/>
    </row>
    <row r="94" spans="1:5" x14ac:dyDescent="0.25">
      <c r="A94"/>
      <c r="B94"/>
      <c r="C94"/>
      <c r="D94"/>
      <c r="E94"/>
    </row>
    <row r="95" spans="1:5" x14ac:dyDescent="0.25">
      <c r="A95"/>
      <c r="B95"/>
      <c r="C95"/>
      <c r="D95"/>
      <c r="E95"/>
    </row>
    <row r="96" spans="1:5" x14ac:dyDescent="0.25">
      <c r="A96"/>
      <c r="B96"/>
      <c r="C96"/>
      <c r="D96"/>
      <c r="E96"/>
    </row>
    <row r="97" spans="1:5" x14ac:dyDescent="0.25">
      <c r="A97"/>
      <c r="B97"/>
      <c r="C97"/>
      <c r="D97"/>
      <c r="E97"/>
    </row>
    <row r="98" spans="1:5" x14ac:dyDescent="0.25">
      <c r="A98"/>
      <c r="B98"/>
      <c r="C98"/>
      <c r="D98"/>
      <c r="E98"/>
    </row>
    <row r="99" spans="1:5" x14ac:dyDescent="0.25">
      <c r="A99"/>
      <c r="B99"/>
      <c r="C99"/>
      <c r="D99"/>
      <c r="E99"/>
    </row>
    <row r="100" spans="1:5" x14ac:dyDescent="0.25">
      <c r="A100"/>
      <c r="B100"/>
      <c r="C100"/>
      <c r="D100"/>
      <c r="E100"/>
    </row>
    <row r="101" spans="1:5" x14ac:dyDescent="0.25">
      <c r="A101"/>
      <c r="B101"/>
      <c r="C101"/>
      <c r="D101"/>
      <c r="E101"/>
    </row>
    <row r="102" spans="1:5" x14ac:dyDescent="0.25">
      <c r="A102"/>
      <c r="B102"/>
      <c r="C102"/>
      <c r="D102"/>
      <c r="E102"/>
    </row>
    <row r="103" spans="1:5" x14ac:dyDescent="0.25">
      <c r="A103"/>
      <c r="B103"/>
      <c r="C103"/>
      <c r="D103"/>
      <c r="E103"/>
    </row>
    <row r="104" spans="1:5" x14ac:dyDescent="0.25">
      <c r="A104"/>
      <c r="B104"/>
      <c r="C104"/>
      <c r="D104"/>
      <c r="E104"/>
    </row>
    <row r="105" spans="1:5" x14ac:dyDescent="0.25">
      <c r="A105"/>
      <c r="B105"/>
      <c r="C105"/>
      <c r="D105"/>
      <c r="E105"/>
    </row>
    <row r="106" spans="1:5" x14ac:dyDescent="0.25">
      <c r="A106"/>
      <c r="B106"/>
      <c r="C106"/>
      <c r="D106"/>
      <c r="E106"/>
    </row>
    <row r="107" spans="1:5" x14ac:dyDescent="0.25">
      <c r="A107"/>
      <c r="B107"/>
      <c r="C107"/>
      <c r="D107"/>
      <c r="E107"/>
    </row>
    <row r="108" spans="1:5" x14ac:dyDescent="0.25">
      <c r="A108"/>
      <c r="B108"/>
      <c r="C108"/>
      <c r="D108"/>
      <c r="E108"/>
    </row>
    <row r="109" spans="1:5" x14ac:dyDescent="0.25">
      <c r="A109"/>
      <c r="B109"/>
      <c r="C109"/>
      <c r="D109"/>
      <c r="E109"/>
    </row>
    <row r="110" spans="1:5" x14ac:dyDescent="0.25">
      <c r="A110"/>
      <c r="B110"/>
      <c r="C110"/>
      <c r="D110"/>
      <c r="E110"/>
    </row>
    <row r="111" spans="1:5" x14ac:dyDescent="0.25">
      <c r="A111"/>
      <c r="B111"/>
      <c r="C111"/>
      <c r="D111"/>
      <c r="E111"/>
    </row>
    <row r="112" spans="1:5" x14ac:dyDescent="0.25">
      <c r="A112"/>
      <c r="B112"/>
      <c r="C112"/>
      <c r="D112"/>
      <c r="E112"/>
    </row>
    <row r="113" spans="1:5" x14ac:dyDescent="0.25">
      <c r="A113"/>
      <c r="B113"/>
      <c r="C113"/>
      <c r="D113"/>
      <c r="E113"/>
    </row>
    <row r="114" spans="1:5" x14ac:dyDescent="0.25">
      <c r="A114"/>
      <c r="B114"/>
      <c r="C114"/>
      <c r="D114"/>
      <c r="E114"/>
    </row>
    <row r="115" spans="1:5" x14ac:dyDescent="0.25">
      <c r="A115"/>
      <c r="B115"/>
      <c r="C115"/>
      <c r="D115"/>
      <c r="E115"/>
    </row>
    <row r="116" spans="1:5" x14ac:dyDescent="0.25">
      <c r="A116"/>
      <c r="B116"/>
      <c r="C116"/>
      <c r="D116"/>
      <c r="E116"/>
    </row>
    <row r="117" spans="1:5" x14ac:dyDescent="0.25">
      <c r="A117"/>
      <c r="B117"/>
      <c r="C117"/>
      <c r="D117"/>
      <c r="E117"/>
    </row>
    <row r="118" spans="1:5" x14ac:dyDescent="0.25">
      <c r="A118"/>
      <c r="B118"/>
      <c r="C118"/>
      <c r="D118"/>
      <c r="E118"/>
    </row>
    <row r="119" spans="1:5" x14ac:dyDescent="0.25">
      <c r="A119"/>
      <c r="B119"/>
      <c r="C119"/>
      <c r="D119"/>
      <c r="E119"/>
    </row>
    <row r="120" spans="1:5" x14ac:dyDescent="0.25">
      <c r="A120"/>
      <c r="B120"/>
      <c r="C120"/>
      <c r="D120"/>
      <c r="E120"/>
    </row>
    <row r="121" spans="1:5" x14ac:dyDescent="0.25">
      <c r="A121"/>
      <c r="B121"/>
      <c r="C121"/>
      <c r="D121"/>
      <c r="E121"/>
    </row>
    <row r="122" spans="1:5" x14ac:dyDescent="0.25">
      <c r="A122"/>
      <c r="B122"/>
      <c r="C122"/>
      <c r="D122"/>
      <c r="E122"/>
    </row>
    <row r="123" spans="1:5" x14ac:dyDescent="0.25">
      <c r="A123"/>
      <c r="B123"/>
      <c r="C123"/>
      <c r="D123"/>
      <c r="E123"/>
    </row>
    <row r="124" spans="1:5" x14ac:dyDescent="0.25">
      <c r="A124"/>
      <c r="B124"/>
      <c r="C124"/>
      <c r="D124"/>
      <c r="E124"/>
    </row>
    <row r="125" spans="1:5" x14ac:dyDescent="0.25">
      <c r="A125"/>
      <c r="B125"/>
      <c r="C125"/>
      <c r="D125"/>
      <c r="E125"/>
    </row>
    <row r="126" spans="1:5" x14ac:dyDescent="0.25">
      <c r="A126"/>
      <c r="B126"/>
      <c r="C126"/>
      <c r="D126"/>
      <c r="E126"/>
    </row>
    <row r="127" spans="1:5" x14ac:dyDescent="0.25">
      <c r="A127"/>
      <c r="B127"/>
      <c r="C127"/>
      <c r="D127"/>
      <c r="E127"/>
    </row>
    <row r="128" spans="1:5" x14ac:dyDescent="0.25">
      <c r="A128"/>
      <c r="B128"/>
      <c r="C128"/>
      <c r="D128"/>
      <c r="E128"/>
    </row>
    <row r="129" spans="1:5" x14ac:dyDescent="0.25">
      <c r="A129"/>
      <c r="B129"/>
      <c r="C129"/>
      <c r="D129"/>
      <c r="E129"/>
    </row>
    <row r="130" spans="1:5" x14ac:dyDescent="0.25">
      <c r="A130"/>
      <c r="B130"/>
      <c r="C130"/>
      <c r="D130"/>
      <c r="E130"/>
    </row>
    <row r="131" spans="1:5" x14ac:dyDescent="0.25">
      <c r="A131"/>
      <c r="B131"/>
      <c r="C131"/>
      <c r="D131"/>
      <c r="E131"/>
    </row>
    <row r="132" spans="1:5" x14ac:dyDescent="0.25">
      <c r="A132"/>
      <c r="B132"/>
      <c r="C132"/>
      <c r="D132"/>
      <c r="E132"/>
    </row>
    <row r="133" spans="1:5" x14ac:dyDescent="0.25">
      <c r="A133"/>
      <c r="B133"/>
      <c r="C133"/>
      <c r="D133"/>
      <c r="E133"/>
    </row>
    <row r="134" spans="1:5" x14ac:dyDescent="0.25">
      <c r="A134"/>
      <c r="B134"/>
      <c r="C134"/>
      <c r="D134"/>
      <c r="E134"/>
    </row>
    <row r="135" spans="1:5" x14ac:dyDescent="0.25">
      <c r="A135"/>
      <c r="B135"/>
      <c r="C135"/>
      <c r="D135"/>
      <c r="E135"/>
    </row>
    <row r="136" spans="1:5" x14ac:dyDescent="0.25">
      <c r="A136"/>
      <c r="B136"/>
      <c r="C136"/>
      <c r="D136"/>
      <c r="E136"/>
    </row>
    <row r="137" spans="1:5" x14ac:dyDescent="0.25">
      <c r="A137"/>
      <c r="B137"/>
      <c r="C137"/>
      <c r="D137"/>
      <c r="E137"/>
    </row>
    <row r="138" spans="1:5" x14ac:dyDescent="0.25">
      <c r="A138"/>
      <c r="B138"/>
      <c r="C138"/>
      <c r="D138"/>
      <c r="E138"/>
    </row>
    <row r="139" spans="1:5" x14ac:dyDescent="0.25">
      <c r="A139"/>
      <c r="B139"/>
      <c r="C139"/>
      <c r="D139"/>
      <c r="E139"/>
    </row>
    <row r="140" spans="1:5" x14ac:dyDescent="0.25">
      <c r="A140"/>
      <c r="B140"/>
      <c r="C140"/>
      <c r="D140"/>
      <c r="E140"/>
    </row>
    <row r="141" spans="1:5" x14ac:dyDescent="0.25">
      <c r="A141"/>
      <c r="B141"/>
      <c r="C141"/>
      <c r="D141"/>
      <c r="E141"/>
    </row>
    <row r="142" spans="1:5" x14ac:dyDescent="0.25">
      <c r="A142"/>
      <c r="B142"/>
      <c r="C142"/>
      <c r="D142"/>
      <c r="E142"/>
    </row>
    <row r="143" spans="1:5" x14ac:dyDescent="0.25">
      <c r="A143"/>
      <c r="B143"/>
      <c r="C143"/>
      <c r="D143"/>
      <c r="E143"/>
    </row>
    <row r="144" spans="1:5" x14ac:dyDescent="0.25">
      <c r="A144"/>
      <c r="B144"/>
      <c r="C144"/>
      <c r="D144"/>
      <c r="E144"/>
    </row>
    <row r="145" spans="1:5" x14ac:dyDescent="0.25">
      <c r="A145"/>
      <c r="B145"/>
      <c r="C145"/>
      <c r="D145"/>
      <c r="E145"/>
    </row>
    <row r="146" spans="1:5" x14ac:dyDescent="0.25">
      <c r="A146"/>
      <c r="B146"/>
      <c r="C146"/>
      <c r="D146"/>
      <c r="E146"/>
    </row>
    <row r="147" spans="1:5" x14ac:dyDescent="0.25">
      <c r="A147"/>
      <c r="B147"/>
      <c r="C147"/>
      <c r="D147"/>
      <c r="E147"/>
    </row>
    <row r="148" spans="1:5" x14ac:dyDescent="0.25">
      <c r="A148"/>
      <c r="B148"/>
      <c r="C148"/>
      <c r="D148"/>
      <c r="E148"/>
    </row>
    <row r="149" spans="1:5" x14ac:dyDescent="0.25">
      <c r="A149"/>
      <c r="B149"/>
      <c r="C149"/>
      <c r="D149"/>
      <c r="E149"/>
    </row>
    <row r="150" spans="1:5" x14ac:dyDescent="0.25">
      <c r="A150"/>
      <c r="B150"/>
      <c r="C150"/>
      <c r="D150"/>
      <c r="E150"/>
    </row>
    <row r="151" spans="1:5" x14ac:dyDescent="0.25">
      <c r="A151"/>
      <c r="B151"/>
      <c r="C151"/>
      <c r="D151"/>
      <c r="E151"/>
    </row>
    <row r="152" spans="1:5" x14ac:dyDescent="0.25">
      <c r="A152"/>
      <c r="B152"/>
      <c r="C152"/>
      <c r="D152"/>
      <c r="E152"/>
    </row>
    <row r="153" spans="1:5" x14ac:dyDescent="0.25">
      <c r="A153"/>
      <c r="B153"/>
      <c r="C153"/>
      <c r="D153"/>
      <c r="E153"/>
    </row>
    <row r="154" spans="1:5" x14ac:dyDescent="0.25">
      <c r="A154"/>
      <c r="B154"/>
      <c r="C154"/>
      <c r="D154"/>
      <c r="E154"/>
    </row>
    <row r="155" spans="1:5" x14ac:dyDescent="0.25">
      <c r="A155"/>
      <c r="B155"/>
      <c r="C155"/>
      <c r="D155"/>
      <c r="E155"/>
    </row>
    <row r="156" spans="1:5" x14ac:dyDescent="0.25">
      <c r="A156"/>
      <c r="B156"/>
      <c r="C156"/>
      <c r="D156"/>
      <c r="E156"/>
    </row>
    <row r="157" spans="1:5" x14ac:dyDescent="0.25">
      <c r="A157"/>
      <c r="B157"/>
      <c r="C157"/>
      <c r="D157"/>
      <c r="E157"/>
    </row>
    <row r="158" spans="1:5" x14ac:dyDescent="0.25">
      <c r="A158"/>
      <c r="B158"/>
      <c r="C158"/>
      <c r="D158"/>
      <c r="E158"/>
    </row>
    <row r="159" spans="1:5" x14ac:dyDescent="0.25">
      <c r="A159"/>
      <c r="B159"/>
      <c r="C159"/>
      <c r="D159"/>
      <c r="E159"/>
    </row>
    <row r="160" spans="1:5" x14ac:dyDescent="0.25">
      <c r="A160"/>
      <c r="B160"/>
      <c r="C160"/>
      <c r="D160"/>
      <c r="E160"/>
    </row>
    <row r="161" spans="1:5" x14ac:dyDescent="0.25">
      <c r="A161"/>
      <c r="B161"/>
      <c r="C161"/>
      <c r="D161"/>
      <c r="E161"/>
    </row>
    <row r="162" spans="1:5" x14ac:dyDescent="0.25">
      <c r="A162"/>
      <c r="B162"/>
      <c r="C162"/>
      <c r="D162"/>
      <c r="E162"/>
    </row>
    <row r="163" spans="1:5" x14ac:dyDescent="0.25">
      <c r="A163"/>
      <c r="B163"/>
      <c r="C163"/>
      <c r="D163"/>
      <c r="E163"/>
    </row>
    <row r="164" spans="1:5" x14ac:dyDescent="0.25">
      <c r="A164"/>
      <c r="B164"/>
      <c r="C164"/>
      <c r="D164"/>
      <c r="E164"/>
    </row>
    <row r="165" spans="1:5" x14ac:dyDescent="0.25">
      <c r="A165"/>
      <c r="B165"/>
      <c r="C165"/>
      <c r="D165"/>
      <c r="E165"/>
    </row>
    <row r="166" spans="1:5" x14ac:dyDescent="0.25">
      <c r="A166"/>
      <c r="B166"/>
      <c r="C166"/>
      <c r="D166"/>
      <c r="E166"/>
    </row>
    <row r="167" spans="1:5" x14ac:dyDescent="0.25">
      <c r="A167"/>
      <c r="B167"/>
      <c r="C167"/>
      <c r="D167"/>
      <c r="E167"/>
    </row>
    <row r="168" spans="1:5" x14ac:dyDescent="0.25">
      <c r="A168"/>
      <c r="B168"/>
      <c r="C168"/>
      <c r="D168"/>
      <c r="E168"/>
    </row>
    <row r="169" spans="1:5" x14ac:dyDescent="0.25">
      <c r="A169"/>
      <c r="B169"/>
      <c r="C169"/>
      <c r="D169"/>
      <c r="E169"/>
    </row>
    <row r="170" spans="1:5" x14ac:dyDescent="0.25">
      <c r="A170"/>
      <c r="B170"/>
      <c r="C170"/>
      <c r="D170"/>
      <c r="E170"/>
    </row>
    <row r="171" spans="1:5" x14ac:dyDescent="0.25">
      <c r="A171"/>
      <c r="B171"/>
      <c r="C171"/>
      <c r="D171"/>
      <c r="E171"/>
    </row>
    <row r="172" spans="1:5" x14ac:dyDescent="0.25">
      <c r="A172"/>
      <c r="B172"/>
      <c r="C172"/>
      <c r="D172"/>
      <c r="E172"/>
    </row>
    <row r="173" spans="1:5" x14ac:dyDescent="0.25">
      <c r="A173"/>
      <c r="B173"/>
      <c r="C173"/>
      <c r="D173"/>
      <c r="E173"/>
    </row>
    <row r="174" spans="1:5" x14ac:dyDescent="0.25">
      <c r="A174"/>
      <c r="B174"/>
      <c r="C174"/>
      <c r="D174"/>
      <c r="E174"/>
    </row>
    <row r="175" spans="1:5" x14ac:dyDescent="0.25">
      <c r="A175"/>
      <c r="B175"/>
      <c r="C175"/>
      <c r="D175"/>
      <c r="E175"/>
    </row>
    <row r="176" spans="1:5" x14ac:dyDescent="0.25">
      <c r="A176"/>
      <c r="B176"/>
      <c r="C176"/>
      <c r="D176"/>
      <c r="E176"/>
    </row>
    <row r="177" spans="1:5" x14ac:dyDescent="0.25">
      <c r="A177"/>
      <c r="B177"/>
      <c r="C177"/>
      <c r="D177"/>
      <c r="E177"/>
    </row>
    <row r="178" spans="1:5" x14ac:dyDescent="0.25">
      <c r="A178"/>
      <c r="B178"/>
      <c r="C178"/>
      <c r="D178"/>
      <c r="E178"/>
    </row>
    <row r="179" spans="1:5" x14ac:dyDescent="0.25">
      <c r="A179"/>
      <c r="B179"/>
      <c r="C179"/>
      <c r="D179"/>
      <c r="E179"/>
    </row>
    <row r="180" spans="1:5" x14ac:dyDescent="0.25">
      <c r="A180"/>
      <c r="B180"/>
      <c r="C180"/>
      <c r="D180"/>
      <c r="E180"/>
    </row>
    <row r="181" spans="1:5" x14ac:dyDescent="0.25">
      <c r="A181"/>
      <c r="B181"/>
      <c r="C181"/>
      <c r="D181"/>
      <c r="E181"/>
    </row>
    <row r="182" spans="1:5" x14ac:dyDescent="0.25">
      <c r="A182"/>
      <c r="B182"/>
      <c r="C182"/>
      <c r="D182"/>
      <c r="E182"/>
    </row>
    <row r="183" spans="1:5" x14ac:dyDescent="0.25">
      <c r="A183"/>
      <c r="B183"/>
      <c r="C183"/>
      <c r="D183"/>
      <c r="E183"/>
    </row>
    <row r="184" spans="1:5" x14ac:dyDescent="0.25">
      <c r="A184"/>
      <c r="B184"/>
      <c r="C184"/>
      <c r="D184"/>
      <c r="E184"/>
    </row>
    <row r="185" spans="1:5" x14ac:dyDescent="0.25">
      <c r="A185"/>
      <c r="B185"/>
      <c r="C185"/>
      <c r="D185"/>
      <c r="E185"/>
    </row>
    <row r="186" spans="1:5" x14ac:dyDescent="0.25">
      <c r="A186"/>
      <c r="B186"/>
      <c r="C186"/>
      <c r="D186"/>
      <c r="E186"/>
    </row>
    <row r="187" spans="1:5" x14ac:dyDescent="0.25">
      <c r="A187"/>
      <c r="B187"/>
      <c r="C187"/>
      <c r="D187"/>
      <c r="E187"/>
    </row>
    <row r="188" spans="1:5" x14ac:dyDescent="0.25">
      <c r="A188"/>
      <c r="B188"/>
      <c r="C188"/>
      <c r="D188"/>
      <c r="E188"/>
    </row>
    <row r="189" spans="1:5" x14ac:dyDescent="0.25">
      <c r="A189"/>
      <c r="B189"/>
      <c r="C189"/>
      <c r="D189"/>
      <c r="E189"/>
    </row>
    <row r="190" spans="1:5" x14ac:dyDescent="0.25">
      <c r="A190"/>
      <c r="B190"/>
      <c r="C190"/>
      <c r="D190"/>
      <c r="E190"/>
    </row>
    <row r="191" spans="1:5" x14ac:dyDescent="0.25">
      <c r="A191"/>
      <c r="B191"/>
      <c r="C191"/>
      <c r="D191"/>
      <c r="E191"/>
    </row>
    <row r="192" spans="1:5" x14ac:dyDescent="0.25">
      <c r="A192"/>
      <c r="B192"/>
      <c r="C192"/>
      <c r="D192"/>
      <c r="E192"/>
    </row>
    <row r="193" spans="1:5" x14ac:dyDescent="0.25">
      <c r="A193"/>
      <c r="B193"/>
      <c r="C193"/>
      <c r="D193"/>
      <c r="E193"/>
    </row>
    <row r="194" spans="1:5" x14ac:dyDescent="0.25">
      <c r="A194"/>
      <c r="B194"/>
      <c r="C194"/>
      <c r="D194"/>
      <c r="E194"/>
    </row>
    <row r="195" spans="1:5" x14ac:dyDescent="0.25">
      <c r="A195"/>
      <c r="B195"/>
      <c r="C195"/>
      <c r="D195"/>
      <c r="E195"/>
    </row>
    <row r="196" spans="1:5" x14ac:dyDescent="0.25">
      <c r="A196"/>
      <c r="B196"/>
      <c r="C196"/>
      <c r="D196"/>
      <c r="E196"/>
    </row>
    <row r="197" spans="1:5" x14ac:dyDescent="0.25">
      <c r="A197"/>
      <c r="B197"/>
      <c r="C197"/>
      <c r="D197"/>
      <c r="E197"/>
    </row>
    <row r="198" spans="1:5" x14ac:dyDescent="0.25">
      <c r="A198"/>
      <c r="B198"/>
      <c r="C198"/>
      <c r="D198"/>
      <c r="E198"/>
    </row>
    <row r="199" spans="1:5" x14ac:dyDescent="0.25">
      <c r="A199"/>
      <c r="B199"/>
      <c r="C199"/>
      <c r="D199"/>
      <c r="E199"/>
    </row>
    <row r="200" spans="1:5" x14ac:dyDescent="0.25">
      <c r="A200"/>
      <c r="B200"/>
      <c r="C200"/>
      <c r="D200"/>
      <c r="E200"/>
    </row>
    <row r="201" spans="1:5" x14ac:dyDescent="0.25">
      <c r="A201"/>
      <c r="B201"/>
      <c r="C201"/>
      <c r="D201"/>
      <c r="E201"/>
    </row>
    <row r="202" spans="1:5" x14ac:dyDescent="0.25">
      <c r="A202"/>
      <c r="B202"/>
      <c r="C202"/>
      <c r="D202"/>
      <c r="E202"/>
    </row>
    <row r="203" spans="1:5" x14ac:dyDescent="0.25">
      <c r="A203"/>
      <c r="B203"/>
      <c r="C203"/>
      <c r="D203"/>
      <c r="E203"/>
    </row>
    <row r="204" spans="1:5" x14ac:dyDescent="0.25">
      <c r="A204"/>
      <c r="B204"/>
      <c r="C204"/>
      <c r="D204"/>
      <c r="E204"/>
    </row>
    <row r="205" spans="1:5" x14ac:dyDescent="0.25">
      <c r="A205"/>
      <c r="B205"/>
      <c r="C205"/>
      <c r="D205"/>
      <c r="E205"/>
    </row>
    <row r="206" spans="1:5" x14ac:dyDescent="0.25">
      <c r="A206"/>
      <c r="B206"/>
      <c r="C206"/>
      <c r="D206"/>
      <c r="E206"/>
    </row>
    <row r="207" spans="1:5" x14ac:dyDescent="0.25">
      <c r="A207"/>
      <c r="B207"/>
      <c r="C207"/>
      <c r="D207"/>
      <c r="E207"/>
    </row>
    <row r="208" spans="1:5" x14ac:dyDescent="0.25">
      <c r="A208"/>
      <c r="B208"/>
      <c r="C208"/>
      <c r="D208"/>
      <c r="E208"/>
    </row>
    <row r="209" spans="1:5" x14ac:dyDescent="0.25">
      <c r="A209"/>
      <c r="B209"/>
      <c r="C209"/>
      <c r="D209"/>
      <c r="E209"/>
    </row>
    <row r="210" spans="1:5" x14ac:dyDescent="0.25">
      <c r="A210"/>
      <c r="B210"/>
      <c r="C210"/>
      <c r="D210"/>
      <c r="E210"/>
    </row>
    <row r="211" spans="1:5" x14ac:dyDescent="0.25">
      <c r="A211"/>
      <c r="B211"/>
      <c r="C211"/>
      <c r="D211"/>
      <c r="E211"/>
    </row>
    <row r="212" spans="1:5" x14ac:dyDescent="0.25">
      <c r="A212"/>
      <c r="B212"/>
      <c r="C212"/>
      <c r="D212"/>
      <c r="E212"/>
    </row>
    <row r="213" spans="1:5" x14ac:dyDescent="0.25">
      <c r="A213"/>
      <c r="B213"/>
      <c r="C213"/>
      <c r="D213"/>
      <c r="E213"/>
    </row>
    <row r="214" spans="1:5" x14ac:dyDescent="0.25">
      <c r="A214"/>
      <c r="B214"/>
      <c r="C214"/>
      <c r="D214"/>
      <c r="E214"/>
    </row>
    <row r="215" spans="1:5" x14ac:dyDescent="0.25">
      <c r="A215"/>
      <c r="B215"/>
      <c r="C215"/>
      <c r="D215"/>
      <c r="E215"/>
    </row>
    <row r="216" spans="1:5" x14ac:dyDescent="0.25">
      <c r="A216"/>
      <c r="B216"/>
      <c r="C216"/>
      <c r="D216"/>
      <c r="E216"/>
    </row>
    <row r="217" spans="1:5" x14ac:dyDescent="0.25">
      <c r="A217"/>
      <c r="B217"/>
      <c r="C217"/>
      <c r="D217"/>
      <c r="E217"/>
    </row>
    <row r="218" spans="1:5" x14ac:dyDescent="0.25">
      <c r="A218"/>
      <c r="B218"/>
      <c r="C218"/>
      <c r="D218"/>
      <c r="E218"/>
    </row>
    <row r="219" spans="1:5" x14ac:dyDescent="0.25">
      <c r="A219"/>
      <c r="B219"/>
      <c r="C219"/>
      <c r="D219"/>
      <c r="E219"/>
    </row>
    <row r="220" spans="1:5" x14ac:dyDescent="0.25">
      <c r="A220"/>
      <c r="B220"/>
      <c r="C220"/>
      <c r="D220"/>
      <c r="E220"/>
    </row>
    <row r="221" spans="1:5" x14ac:dyDescent="0.25">
      <c r="A221"/>
      <c r="B221"/>
      <c r="C221"/>
      <c r="D221"/>
      <c r="E221"/>
    </row>
    <row r="222" spans="1:5" x14ac:dyDescent="0.25">
      <c r="A222"/>
      <c r="B222"/>
      <c r="C222"/>
      <c r="D222"/>
      <c r="E222"/>
    </row>
    <row r="223" spans="1:5" x14ac:dyDescent="0.25">
      <c r="A223"/>
      <c r="B223"/>
      <c r="C223"/>
      <c r="D223"/>
      <c r="E223"/>
    </row>
    <row r="224" spans="1:5" x14ac:dyDescent="0.25">
      <c r="A224"/>
      <c r="B224"/>
      <c r="C224"/>
      <c r="D224"/>
      <c r="E224"/>
    </row>
    <row r="225" spans="1:5" x14ac:dyDescent="0.25">
      <c r="A225"/>
      <c r="B225"/>
      <c r="C225"/>
      <c r="D225"/>
      <c r="E225"/>
    </row>
    <row r="226" spans="1:5" x14ac:dyDescent="0.25">
      <c r="A226"/>
      <c r="B226"/>
      <c r="C226"/>
      <c r="D226"/>
      <c r="E226"/>
    </row>
    <row r="227" spans="1:5" x14ac:dyDescent="0.25">
      <c r="A227"/>
      <c r="B227"/>
      <c r="C227"/>
      <c r="D227"/>
      <c r="E227"/>
    </row>
    <row r="228" spans="1:5" x14ac:dyDescent="0.25">
      <c r="A228"/>
      <c r="B228"/>
      <c r="C228"/>
      <c r="D228"/>
      <c r="E228"/>
    </row>
    <row r="229" spans="1:5" x14ac:dyDescent="0.25">
      <c r="A229"/>
      <c r="B229"/>
      <c r="C229"/>
      <c r="D229"/>
      <c r="E229"/>
    </row>
    <row r="230" spans="1:5" x14ac:dyDescent="0.25">
      <c r="A230"/>
      <c r="B230"/>
      <c r="C230"/>
      <c r="D230"/>
      <c r="E230"/>
    </row>
    <row r="231" spans="1:5" x14ac:dyDescent="0.25">
      <c r="A231"/>
      <c r="B231"/>
      <c r="C231"/>
      <c r="D231"/>
      <c r="E231"/>
    </row>
    <row r="232" spans="1:5" x14ac:dyDescent="0.25">
      <c r="A232"/>
      <c r="B232"/>
      <c r="C232"/>
      <c r="D232"/>
      <c r="E232"/>
    </row>
    <row r="233" spans="1:5" x14ac:dyDescent="0.25">
      <c r="A233"/>
      <c r="B233"/>
      <c r="C233"/>
      <c r="D233"/>
      <c r="E233"/>
    </row>
    <row r="234" spans="1:5" x14ac:dyDescent="0.25">
      <c r="A234"/>
      <c r="B234"/>
      <c r="C234"/>
      <c r="D234"/>
      <c r="E234"/>
    </row>
    <row r="235" spans="1:5" x14ac:dyDescent="0.25">
      <c r="A235"/>
      <c r="B235"/>
      <c r="C235"/>
      <c r="D235"/>
      <c r="E235"/>
    </row>
    <row r="236" spans="1:5" x14ac:dyDescent="0.25">
      <c r="A236"/>
      <c r="B236"/>
      <c r="C236"/>
      <c r="D236"/>
      <c r="E236"/>
    </row>
    <row r="237" spans="1:5" x14ac:dyDescent="0.25">
      <c r="A237"/>
      <c r="B237"/>
      <c r="C237"/>
      <c r="D237"/>
      <c r="E237"/>
    </row>
    <row r="238" spans="1:5" x14ac:dyDescent="0.25">
      <c r="A238"/>
      <c r="B238"/>
      <c r="C238"/>
      <c r="D238"/>
      <c r="E238"/>
    </row>
    <row r="239" spans="1:5" x14ac:dyDescent="0.25">
      <c r="A239"/>
      <c r="B239"/>
      <c r="C239"/>
      <c r="D239"/>
      <c r="E239"/>
    </row>
    <row r="240" spans="1:5" x14ac:dyDescent="0.25">
      <c r="A240"/>
      <c r="B240"/>
      <c r="C240"/>
      <c r="D240"/>
      <c r="E240"/>
    </row>
    <row r="241" spans="1:5" x14ac:dyDescent="0.25">
      <c r="A241"/>
      <c r="B241"/>
      <c r="C241"/>
      <c r="D241"/>
      <c r="E241"/>
    </row>
    <row r="242" spans="1:5" x14ac:dyDescent="0.25">
      <c r="A242"/>
      <c r="B242"/>
      <c r="C242"/>
      <c r="D242"/>
      <c r="E242"/>
    </row>
    <row r="243" spans="1:5" x14ac:dyDescent="0.25">
      <c r="A243"/>
      <c r="B243"/>
      <c r="C243"/>
      <c r="D243"/>
      <c r="E243"/>
    </row>
    <row r="244" spans="1:5" x14ac:dyDescent="0.25">
      <c r="A244"/>
      <c r="B244"/>
      <c r="C244"/>
      <c r="D244"/>
      <c r="E244"/>
    </row>
    <row r="245" spans="1:5" x14ac:dyDescent="0.25">
      <c r="A245"/>
      <c r="B245"/>
      <c r="C245"/>
      <c r="D245"/>
      <c r="E245"/>
    </row>
    <row r="246" spans="1:5" x14ac:dyDescent="0.25">
      <c r="A246"/>
      <c r="B246"/>
      <c r="C246"/>
      <c r="D246"/>
      <c r="E246"/>
    </row>
    <row r="247" spans="1:5" x14ac:dyDescent="0.25">
      <c r="A247"/>
      <c r="B247"/>
      <c r="C247"/>
      <c r="D247"/>
      <c r="E247"/>
    </row>
    <row r="248" spans="1:5" x14ac:dyDescent="0.25">
      <c r="A248"/>
      <c r="B248"/>
      <c r="C248"/>
      <c r="D248"/>
      <c r="E248"/>
    </row>
    <row r="249" spans="1:5" x14ac:dyDescent="0.25">
      <c r="A249"/>
      <c r="B249"/>
      <c r="C249"/>
      <c r="D249"/>
      <c r="E249"/>
    </row>
    <row r="250" spans="1:5" x14ac:dyDescent="0.25">
      <c r="A250"/>
      <c r="B250"/>
      <c r="C250"/>
      <c r="D250"/>
      <c r="E250"/>
    </row>
    <row r="251" spans="1:5" x14ac:dyDescent="0.25">
      <c r="A251"/>
      <c r="B251"/>
      <c r="C251"/>
      <c r="D251"/>
      <c r="E251"/>
    </row>
    <row r="252" spans="1:5" x14ac:dyDescent="0.25">
      <c r="A252"/>
      <c r="B252"/>
      <c r="C252"/>
      <c r="D252"/>
      <c r="E252"/>
    </row>
    <row r="253" spans="1:5" x14ac:dyDescent="0.25">
      <c r="A253"/>
      <c r="B253"/>
      <c r="C253"/>
      <c r="D253"/>
      <c r="E253"/>
    </row>
    <row r="254" spans="1:5" x14ac:dyDescent="0.25">
      <c r="A254"/>
      <c r="B254"/>
      <c r="C254"/>
      <c r="D254"/>
      <c r="E254"/>
    </row>
    <row r="255" spans="1:5" x14ac:dyDescent="0.25">
      <c r="A255"/>
      <c r="B255"/>
      <c r="C255"/>
      <c r="D255"/>
      <c r="E255"/>
    </row>
    <row r="256" spans="1:5" x14ac:dyDescent="0.25">
      <c r="A256"/>
      <c r="B256"/>
      <c r="C256"/>
      <c r="D256"/>
      <c r="E256"/>
    </row>
    <row r="257" spans="1:5" x14ac:dyDescent="0.25">
      <c r="A257"/>
      <c r="B257"/>
      <c r="C257"/>
      <c r="D257"/>
      <c r="E257"/>
    </row>
    <row r="258" spans="1:5" x14ac:dyDescent="0.25">
      <c r="A258"/>
      <c r="B258"/>
      <c r="C258"/>
      <c r="D258"/>
      <c r="E258"/>
    </row>
    <row r="259" spans="1:5" x14ac:dyDescent="0.25">
      <c r="A259"/>
      <c r="B259"/>
      <c r="C259"/>
      <c r="D259"/>
      <c r="E259"/>
    </row>
    <row r="260" spans="1:5" x14ac:dyDescent="0.25">
      <c r="A260"/>
      <c r="B260"/>
      <c r="C260"/>
      <c r="D260"/>
      <c r="E260"/>
    </row>
    <row r="261" spans="1:5" x14ac:dyDescent="0.25">
      <c r="A261"/>
      <c r="B261"/>
      <c r="C261"/>
      <c r="D261"/>
      <c r="E261"/>
    </row>
    <row r="262" spans="1:5" x14ac:dyDescent="0.25">
      <c r="A262"/>
      <c r="B262"/>
      <c r="C262"/>
      <c r="D262"/>
      <c r="E262"/>
    </row>
    <row r="263" spans="1:5" x14ac:dyDescent="0.25">
      <c r="A263"/>
      <c r="B263"/>
      <c r="C263"/>
      <c r="D263"/>
      <c r="E263"/>
    </row>
    <row r="264" spans="1:5" x14ac:dyDescent="0.25">
      <c r="A264"/>
      <c r="B264"/>
      <c r="C264"/>
      <c r="D264"/>
      <c r="E264"/>
    </row>
    <row r="265" spans="1:5" x14ac:dyDescent="0.25">
      <c r="A265"/>
      <c r="B265"/>
      <c r="C265"/>
      <c r="D265"/>
      <c r="E265"/>
    </row>
    <row r="266" spans="1:5" x14ac:dyDescent="0.25">
      <c r="A266"/>
      <c r="B266"/>
      <c r="C266"/>
      <c r="D266"/>
      <c r="E266"/>
    </row>
    <row r="267" spans="1:5" x14ac:dyDescent="0.25">
      <c r="A267"/>
      <c r="B267"/>
      <c r="C267"/>
      <c r="D267"/>
      <c r="E267"/>
    </row>
    <row r="268" spans="1:5" x14ac:dyDescent="0.25">
      <c r="A268"/>
      <c r="B268"/>
      <c r="C268"/>
      <c r="D268"/>
      <c r="E268"/>
    </row>
    <row r="269" spans="1:5" x14ac:dyDescent="0.25">
      <c r="A269"/>
      <c r="B269"/>
      <c r="C269"/>
      <c r="D269"/>
      <c r="E269"/>
    </row>
    <row r="270" spans="1:5" x14ac:dyDescent="0.25">
      <c r="A270"/>
      <c r="B270"/>
      <c r="C270"/>
      <c r="D270"/>
      <c r="E270"/>
    </row>
    <row r="271" spans="1:5" x14ac:dyDescent="0.25">
      <c r="A271"/>
      <c r="B271"/>
      <c r="C271"/>
      <c r="D271"/>
      <c r="E271"/>
    </row>
    <row r="272" spans="1:5" x14ac:dyDescent="0.25">
      <c r="A272"/>
      <c r="B272"/>
      <c r="C272"/>
      <c r="D272"/>
      <c r="E272"/>
    </row>
    <row r="273" spans="1:5" x14ac:dyDescent="0.25">
      <c r="A273"/>
      <c r="B273"/>
      <c r="C273"/>
      <c r="D273"/>
      <c r="E273"/>
    </row>
    <row r="274" spans="1:5" x14ac:dyDescent="0.25">
      <c r="A274"/>
      <c r="B274"/>
      <c r="C274"/>
      <c r="D274"/>
      <c r="E274"/>
    </row>
    <row r="275" spans="1:5" x14ac:dyDescent="0.25">
      <c r="A275"/>
      <c r="B275"/>
      <c r="C275"/>
      <c r="D275"/>
      <c r="E275"/>
    </row>
    <row r="276" spans="1:5" x14ac:dyDescent="0.25">
      <c r="A276"/>
      <c r="B276"/>
      <c r="C276"/>
      <c r="D276"/>
      <c r="E276"/>
    </row>
    <row r="277" spans="1:5" x14ac:dyDescent="0.25">
      <c r="A277"/>
      <c r="B277"/>
      <c r="C277"/>
      <c r="D277"/>
      <c r="E277"/>
    </row>
    <row r="278" spans="1:5" x14ac:dyDescent="0.25">
      <c r="A278"/>
      <c r="B278"/>
      <c r="C278"/>
      <c r="D278"/>
      <c r="E278"/>
    </row>
    <row r="279" spans="1:5" x14ac:dyDescent="0.25">
      <c r="A279"/>
      <c r="B279"/>
      <c r="C279"/>
      <c r="D279"/>
      <c r="E279"/>
    </row>
    <row r="280" spans="1:5" x14ac:dyDescent="0.25">
      <c r="A280"/>
      <c r="B280"/>
      <c r="C280"/>
      <c r="D280"/>
      <c r="E280"/>
    </row>
    <row r="281" spans="1:5" x14ac:dyDescent="0.25">
      <c r="A281"/>
      <c r="B281"/>
      <c r="C281"/>
      <c r="D281"/>
      <c r="E281"/>
    </row>
    <row r="282" spans="1:5" x14ac:dyDescent="0.25">
      <c r="A282"/>
      <c r="B282"/>
      <c r="C282"/>
      <c r="D282"/>
      <c r="E282"/>
    </row>
    <row r="283" spans="1:5" x14ac:dyDescent="0.25">
      <c r="A283"/>
      <c r="B283"/>
      <c r="C283"/>
      <c r="D283"/>
      <c r="E283"/>
    </row>
    <row r="284" spans="1:5" x14ac:dyDescent="0.25">
      <c r="A284"/>
      <c r="B284"/>
      <c r="C284"/>
      <c r="D284"/>
      <c r="E284"/>
    </row>
    <row r="285" spans="1:5" x14ac:dyDescent="0.25">
      <c r="A285"/>
      <c r="B285"/>
      <c r="C285"/>
      <c r="D285"/>
      <c r="E285"/>
    </row>
    <row r="286" spans="1:5" x14ac:dyDescent="0.25">
      <c r="A286"/>
      <c r="B286"/>
      <c r="C286"/>
      <c r="D286"/>
      <c r="E286"/>
    </row>
    <row r="287" spans="1:5" x14ac:dyDescent="0.25">
      <c r="A287"/>
      <c r="B287"/>
      <c r="C287"/>
      <c r="D287"/>
      <c r="E287"/>
    </row>
    <row r="288" spans="1:5" x14ac:dyDescent="0.25">
      <c r="A288"/>
      <c r="B288"/>
      <c r="C288"/>
      <c r="D288"/>
      <c r="E288"/>
    </row>
    <row r="289" spans="1:5" x14ac:dyDescent="0.25">
      <c r="A289"/>
      <c r="B289"/>
      <c r="C289"/>
      <c r="D289"/>
      <c r="E289"/>
    </row>
    <row r="290" spans="1:5" x14ac:dyDescent="0.25">
      <c r="A290"/>
      <c r="B290"/>
      <c r="C290"/>
      <c r="D290"/>
      <c r="E290"/>
    </row>
    <row r="291" spans="1:5" x14ac:dyDescent="0.25">
      <c r="A291"/>
      <c r="B291"/>
      <c r="C291"/>
      <c r="D291"/>
      <c r="E291"/>
    </row>
    <row r="292" spans="1:5" x14ac:dyDescent="0.25">
      <c r="A292"/>
      <c r="B292"/>
      <c r="C292"/>
      <c r="D292"/>
      <c r="E292"/>
    </row>
    <row r="293" spans="1:5" x14ac:dyDescent="0.25">
      <c r="A293"/>
      <c r="B293"/>
      <c r="C293"/>
      <c r="D293"/>
      <c r="E293"/>
    </row>
    <row r="294" spans="1:5" x14ac:dyDescent="0.25">
      <c r="A294"/>
      <c r="B294"/>
      <c r="C294"/>
      <c r="D294"/>
      <c r="E294"/>
    </row>
    <row r="295" spans="1:5" x14ac:dyDescent="0.25">
      <c r="A295"/>
      <c r="B295"/>
      <c r="C295"/>
      <c r="D295"/>
      <c r="E295"/>
    </row>
    <row r="296" spans="1:5" x14ac:dyDescent="0.25">
      <c r="A296"/>
      <c r="B296"/>
      <c r="C296"/>
      <c r="D296"/>
      <c r="E296"/>
    </row>
    <row r="297" spans="1:5" x14ac:dyDescent="0.25">
      <c r="A297"/>
      <c r="B297"/>
      <c r="C297"/>
      <c r="D297"/>
      <c r="E297"/>
    </row>
    <row r="298" spans="1:5" x14ac:dyDescent="0.25">
      <c r="A298"/>
      <c r="B298"/>
      <c r="C298"/>
      <c r="D298"/>
      <c r="E298"/>
    </row>
    <row r="299" spans="1:5" x14ac:dyDescent="0.25">
      <c r="A299"/>
      <c r="B299"/>
      <c r="C299"/>
      <c r="D299"/>
      <c r="E299"/>
    </row>
    <row r="300" spans="1:5" x14ac:dyDescent="0.25">
      <c r="A300"/>
      <c r="B300"/>
      <c r="C300"/>
      <c r="D300"/>
      <c r="E300"/>
    </row>
    <row r="301" spans="1:5" x14ac:dyDescent="0.25">
      <c r="A301"/>
      <c r="B301"/>
      <c r="C301"/>
      <c r="D301"/>
      <c r="E301"/>
    </row>
    <row r="302" spans="1:5" x14ac:dyDescent="0.25">
      <c r="A302"/>
      <c r="B302"/>
      <c r="C302"/>
      <c r="D302"/>
      <c r="E302"/>
    </row>
    <row r="303" spans="1:5" x14ac:dyDescent="0.25">
      <c r="A303"/>
      <c r="B303"/>
      <c r="C303"/>
      <c r="D303"/>
      <c r="E303"/>
    </row>
    <row r="304" spans="1:5" x14ac:dyDescent="0.25">
      <c r="A304"/>
      <c r="B304"/>
      <c r="C304"/>
      <c r="D304"/>
      <c r="E304"/>
    </row>
    <row r="305" spans="1:5" x14ac:dyDescent="0.25">
      <c r="A305"/>
      <c r="B305"/>
      <c r="C305"/>
      <c r="D305"/>
      <c r="E305"/>
    </row>
    <row r="306" spans="1:5" x14ac:dyDescent="0.25">
      <c r="A306"/>
      <c r="B306"/>
      <c r="C306"/>
      <c r="D306"/>
      <c r="E306"/>
    </row>
    <row r="307" spans="1:5" x14ac:dyDescent="0.25">
      <c r="A307"/>
      <c r="B307"/>
      <c r="C307"/>
      <c r="D307"/>
      <c r="E307"/>
    </row>
    <row r="308" spans="1:5" x14ac:dyDescent="0.25">
      <c r="A308"/>
      <c r="B308"/>
      <c r="C308"/>
      <c r="D308"/>
      <c r="E308"/>
    </row>
    <row r="309" spans="1:5" x14ac:dyDescent="0.25">
      <c r="A309"/>
      <c r="B309"/>
      <c r="C309"/>
      <c r="D309"/>
      <c r="E309"/>
    </row>
    <row r="310" spans="1:5" x14ac:dyDescent="0.25">
      <c r="A310"/>
      <c r="B310"/>
      <c r="C310"/>
      <c r="D310"/>
      <c r="E310"/>
    </row>
    <row r="311" spans="1:5" x14ac:dyDescent="0.25">
      <c r="A311"/>
      <c r="B311"/>
      <c r="C311"/>
      <c r="D311"/>
      <c r="E311"/>
    </row>
    <row r="312" spans="1:5" x14ac:dyDescent="0.25">
      <c r="A312"/>
      <c r="B312"/>
      <c r="C312"/>
      <c r="D312"/>
      <c r="E312"/>
    </row>
    <row r="313" spans="1:5" x14ac:dyDescent="0.25">
      <c r="A313"/>
      <c r="B313"/>
      <c r="C313"/>
      <c r="D313"/>
      <c r="E313"/>
    </row>
    <row r="314" spans="1:5" x14ac:dyDescent="0.25">
      <c r="A314"/>
      <c r="B314"/>
      <c r="C314"/>
      <c r="D314"/>
      <c r="E314"/>
    </row>
    <row r="315" spans="1:5" x14ac:dyDescent="0.25">
      <c r="A315"/>
      <c r="B315"/>
      <c r="C315"/>
      <c r="D315"/>
      <c r="E315"/>
    </row>
    <row r="316" spans="1:5" x14ac:dyDescent="0.25">
      <c r="A316"/>
      <c r="B316"/>
      <c r="C316"/>
      <c r="D316"/>
      <c r="E316"/>
    </row>
    <row r="317" spans="1:5" x14ac:dyDescent="0.25">
      <c r="A317"/>
      <c r="B317"/>
      <c r="C317"/>
      <c r="D317"/>
      <c r="E317"/>
    </row>
    <row r="318" spans="1:5" x14ac:dyDescent="0.25">
      <c r="A318"/>
      <c r="B318"/>
      <c r="C318"/>
      <c r="D318"/>
      <c r="E318"/>
    </row>
    <row r="319" spans="1:5" x14ac:dyDescent="0.25">
      <c r="A319"/>
      <c r="B319"/>
      <c r="C319"/>
      <c r="D319"/>
      <c r="E319"/>
    </row>
    <row r="320" spans="1:5" x14ac:dyDescent="0.25">
      <c r="A320"/>
      <c r="B320"/>
      <c r="C320"/>
      <c r="D320"/>
      <c r="E320"/>
    </row>
    <row r="321" spans="1:5" x14ac:dyDescent="0.25">
      <c r="A321"/>
      <c r="B321"/>
      <c r="C321"/>
      <c r="D321"/>
      <c r="E321"/>
    </row>
    <row r="322" spans="1:5" x14ac:dyDescent="0.25">
      <c r="A322"/>
      <c r="B322"/>
      <c r="C322"/>
      <c r="D322"/>
      <c r="E322"/>
    </row>
    <row r="323" spans="1:5" x14ac:dyDescent="0.25">
      <c r="A323"/>
      <c r="B323"/>
      <c r="C323"/>
      <c r="D323"/>
      <c r="E323"/>
    </row>
    <row r="324" spans="1:5" x14ac:dyDescent="0.25">
      <c r="A324"/>
      <c r="B324"/>
      <c r="C324"/>
      <c r="D324"/>
      <c r="E324"/>
    </row>
    <row r="325" spans="1:5" x14ac:dyDescent="0.25">
      <c r="A325"/>
      <c r="B325"/>
      <c r="C325"/>
      <c r="D325"/>
      <c r="E325"/>
    </row>
    <row r="326" spans="1:5" x14ac:dyDescent="0.25">
      <c r="A326"/>
      <c r="B326"/>
      <c r="C326"/>
      <c r="D326"/>
      <c r="E326"/>
    </row>
    <row r="327" spans="1:5" x14ac:dyDescent="0.25">
      <c r="A327"/>
      <c r="B327"/>
      <c r="C327"/>
      <c r="D327"/>
      <c r="E327"/>
    </row>
    <row r="328" spans="1:5" x14ac:dyDescent="0.25">
      <c r="A328"/>
      <c r="B328"/>
      <c r="C328"/>
      <c r="D328"/>
      <c r="E328"/>
    </row>
    <row r="329" spans="1:5" x14ac:dyDescent="0.25">
      <c r="A329"/>
      <c r="B329"/>
      <c r="C329"/>
      <c r="D329"/>
      <c r="E329"/>
    </row>
    <row r="330" spans="1:5" x14ac:dyDescent="0.25">
      <c r="A330"/>
      <c r="B330"/>
      <c r="C330"/>
      <c r="D330"/>
      <c r="E330"/>
    </row>
    <row r="331" spans="1:5" x14ac:dyDescent="0.25">
      <c r="A331"/>
      <c r="B331"/>
      <c r="C331"/>
      <c r="D331"/>
      <c r="E331"/>
    </row>
    <row r="332" spans="1:5" x14ac:dyDescent="0.25">
      <c r="A332"/>
      <c r="B332"/>
      <c r="C332"/>
      <c r="D332"/>
      <c r="E332"/>
    </row>
    <row r="333" spans="1:5" x14ac:dyDescent="0.25">
      <c r="A333"/>
      <c r="B333"/>
      <c r="C333"/>
      <c r="D333"/>
      <c r="E333"/>
    </row>
    <row r="334" spans="1:5" x14ac:dyDescent="0.25">
      <c r="A334"/>
      <c r="B334"/>
      <c r="C334"/>
      <c r="D334"/>
      <c r="E334"/>
    </row>
    <row r="335" spans="1:5" x14ac:dyDescent="0.25">
      <c r="A335"/>
      <c r="B335"/>
      <c r="C335"/>
      <c r="D335"/>
      <c r="E335"/>
    </row>
    <row r="336" spans="1:5" x14ac:dyDescent="0.25">
      <c r="A336"/>
      <c r="B336"/>
      <c r="C336"/>
      <c r="D336"/>
      <c r="E336"/>
    </row>
    <row r="337" spans="1:5" x14ac:dyDescent="0.25">
      <c r="A337"/>
      <c r="B337"/>
      <c r="C337"/>
      <c r="D337"/>
      <c r="E337"/>
    </row>
    <row r="338" spans="1:5" x14ac:dyDescent="0.25">
      <c r="A338"/>
      <c r="B338"/>
      <c r="C338"/>
      <c r="D338"/>
      <c r="E338"/>
    </row>
    <row r="339" spans="1:5" x14ac:dyDescent="0.25">
      <c r="A339"/>
      <c r="B339"/>
      <c r="C339"/>
      <c r="D339"/>
      <c r="E339"/>
    </row>
    <row r="340" spans="1:5" x14ac:dyDescent="0.25">
      <c r="A340"/>
      <c r="B340"/>
      <c r="C340"/>
      <c r="D340"/>
      <c r="E340"/>
    </row>
    <row r="341" spans="1:5" x14ac:dyDescent="0.25">
      <c r="A341"/>
      <c r="B341"/>
      <c r="C341"/>
      <c r="D341"/>
      <c r="E341"/>
    </row>
    <row r="342" spans="1:5" x14ac:dyDescent="0.25">
      <c r="A342"/>
      <c r="B342"/>
      <c r="C342"/>
      <c r="D342"/>
      <c r="E342"/>
    </row>
    <row r="343" spans="1:5" x14ac:dyDescent="0.25">
      <c r="A343"/>
      <c r="B343"/>
      <c r="C343"/>
      <c r="D343"/>
      <c r="E343"/>
    </row>
    <row r="344" spans="1:5" x14ac:dyDescent="0.25">
      <c r="A344"/>
      <c r="B344"/>
      <c r="C344"/>
      <c r="D344"/>
      <c r="E344"/>
    </row>
    <row r="345" spans="1:5" x14ac:dyDescent="0.25">
      <c r="A345"/>
      <c r="B345"/>
      <c r="C345"/>
      <c r="D345"/>
      <c r="E345"/>
    </row>
    <row r="346" spans="1:5" x14ac:dyDescent="0.25">
      <c r="A346"/>
      <c r="B346"/>
      <c r="C346"/>
      <c r="D346"/>
      <c r="E346"/>
    </row>
    <row r="347" spans="1:5" x14ac:dyDescent="0.25">
      <c r="A347"/>
      <c r="B347"/>
      <c r="C347"/>
      <c r="D347"/>
      <c r="E347"/>
    </row>
    <row r="348" spans="1:5" x14ac:dyDescent="0.25">
      <c r="A348"/>
      <c r="B348"/>
      <c r="C348"/>
      <c r="D348"/>
      <c r="E348"/>
    </row>
    <row r="349" spans="1:5" x14ac:dyDescent="0.25">
      <c r="A349"/>
      <c r="B349"/>
      <c r="C349"/>
      <c r="D349"/>
      <c r="E349"/>
    </row>
    <row r="350" spans="1:5" x14ac:dyDescent="0.25">
      <c r="A350"/>
      <c r="B350"/>
      <c r="C350"/>
      <c r="D350"/>
      <c r="E350"/>
    </row>
    <row r="351" spans="1:5" x14ac:dyDescent="0.25">
      <c r="A351"/>
      <c r="B351"/>
      <c r="C351"/>
      <c r="D351"/>
      <c r="E351"/>
    </row>
    <row r="352" spans="1:5" x14ac:dyDescent="0.25">
      <c r="A352"/>
      <c r="B352"/>
      <c r="C352"/>
      <c r="D352"/>
      <c r="E352"/>
    </row>
    <row r="353" spans="1:5" x14ac:dyDescent="0.25">
      <c r="A353"/>
      <c r="B353"/>
      <c r="C353"/>
      <c r="D353"/>
      <c r="E353"/>
    </row>
    <row r="354" spans="1:5" x14ac:dyDescent="0.25">
      <c r="A354"/>
      <c r="B354"/>
      <c r="C354"/>
      <c r="D354"/>
      <c r="E354"/>
    </row>
    <row r="355" spans="1:5" x14ac:dyDescent="0.25">
      <c r="A355"/>
      <c r="B355"/>
      <c r="C355"/>
      <c r="D355"/>
      <c r="E355"/>
    </row>
    <row r="356" spans="1:5" x14ac:dyDescent="0.25">
      <c r="A356"/>
      <c r="B356"/>
      <c r="C356"/>
      <c r="D356"/>
      <c r="E356"/>
    </row>
    <row r="357" spans="1:5" x14ac:dyDescent="0.25">
      <c r="A357"/>
      <c r="B357"/>
      <c r="C357"/>
      <c r="D357"/>
      <c r="E357"/>
    </row>
    <row r="358" spans="1:5" x14ac:dyDescent="0.25">
      <c r="A358"/>
      <c r="B358"/>
      <c r="C358"/>
      <c r="D358"/>
      <c r="E358"/>
    </row>
    <row r="359" spans="1:5" x14ac:dyDescent="0.25">
      <c r="A359"/>
      <c r="B359"/>
      <c r="C359"/>
      <c r="D359"/>
      <c r="E359"/>
    </row>
    <row r="360" spans="1:5" x14ac:dyDescent="0.25">
      <c r="A360"/>
      <c r="B360"/>
      <c r="C360"/>
      <c r="D360"/>
      <c r="E360"/>
    </row>
    <row r="361" spans="1:5" x14ac:dyDescent="0.25">
      <c r="A361"/>
      <c r="B361"/>
      <c r="C361"/>
      <c r="D361"/>
      <c r="E361"/>
    </row>
    <row r="362" spans="1:5" x14ac:dyDescent="0.25">
      <c r="A362"/>
      <c r="B362"/>
      <c r="C362"/>
      <c r="D362"/>
      <c r="E362"/>
    </row>
    <row r="363" spans="1:5" x14ac:dyDescent="0.25">
      <c r="A363"/>
      <c r="B363"/>
      <c r="C363"/>
      <c r="D363"/>
      <c r="E363"/>
    </row>
    <row r="364" spans="1:5" x14ac:dyDescent="0.25">
      <c r="A364"/>
      <c r="B364"/>
      <c r="C364"/>
      <c r="D364"/>
      <c r="E364"/>
    </row>
    <row r="365" spans="1:5" x14ac:dyDescent="0.25">
      <c r="A365"/>
      <c r="B365"/>
      <c r="C365"/>
      <c r="D365"/>
      <c r="E365"/>
    </row>
    <row r="366" spans="1:5" x14ac:dyDescent="0.25">
      <c r="A366"/>
      <c r="B366"/>
      <c r="C366"/>
      <c r="D366"/>
      <c r="E366"/>
    </row>
    <row r="367" spans="1:5" x14ac:dyDescent="0.25">
      <c r="A367"/>
      <c r="B367"/>
      <c r="C367"/>
      <c r="D367"/>
      <c r="E367"/>
    </row>
    <row r="368" spans="1:5" x14ac:dyDescent="0.25">
      <c r="A368"/>
      <c r="B368"/>
      <c r="C368"/>
      <c r="D368"/>
      <c r="E368"/>
    </row>
    <row r="369" spans="1:5" x14ac:dyDescent="0.25">
      <c r="A369"/>
      <c r="B369"/>
      <c r="C369"/>
      <c r="D369"/>
      <c r="E369"/>
    </row>
    <row r="370" spans="1:5" x14ac:dyDescent="0.25">
      <c r="A370"/>
      <c r="B370"/>
      <c r="C370"/>
      <c r="D370"/>
      <c r="E370"/>
    </row>
    <row r="371" spans="1:5" x14ac:dyDescent="0.25">
      <c r="A371"/>
      <c r="B371"/>
      <c r="C371"/>
      <c r="D371"/>
      <c r="E371"/>
    </row>
    <row r="372" spans="1:5" x14ac:dyDescent="0.25">
      <c r="A372"/>
      <c r="B372"/>
      <c r="C372"/>
      <c r="D372"/>
      <c r="E372"/>
    </row>
    <row r="373" spans="1:5" x14ac:dyDescent="0.25">
      <c r="A373"/>
      <c r="B373"/>
      <c r="C373"/>
      <c r="D373"/>
      <c r="E373"/>
    </row>
    <row r="374" spans="1:5" x14ac:dyDescent="0.25">
      <c r="A374"/>
      <c r="B374"/>
      <c r="C374"/>
      <c r="D374"/>
      <c r="E374"/>
    </row>
    <row r="375" spans="1:5" x14ac:dyDescent="0.25">
      <c r="A375"/>
      <c r="B375"/>
      <c r="C375"/>
      <c r="D375"/>
      <c r="E375"/>
    </row>
    <row r="376" spans="1:5" x14ac:dyDescent="0.25">
      <c r="A376"/>
      <c r="B376"/>
      <c r="C376"/>
      <c r="D376"/>
      <c r="E376"/>
    </row>
    <row r="377" spans="1:5" x14ac:dyDescent="0.25">
      <c r="A377"/>
      <c r="B377"/>
      <c r="C377"/>
      <c r="D377"/>
      <c r="E377"/>
    </row>
    <row r="378" spans="1:5" x14ac:dyDescent="0.25">
      <c r="A378"/>
      <c r="B378"/>
      <c r="C378"/>
      <c r="D378"/>
      <c r="E378"/>
    </row>
    <row r="379" spans="1:5" x14ac:dyDescent="0.25">
      <c r="A379"/>
      <c r="B379"/>
      <c r="C379"/>
      <c r="D379"/>
      <c r="E379"/>
    </row>
    <row r="380" spans="1:5" x14ac:dyDescent="0.25">
      <c r="A380"/>
      <c r="B380"/>
      <c r="C380"/>
      <c r="D380"/>
      <c r="E380"/>
    </row>
    <row r="381" spans="1:5" x14ac:dyDescent="0.25">
      <c r="A381"/>
      <c r="B381"/>
      <c r="C381"/>
      <c r="D381"/>
      <c r="E381"/>
    </row>
    <row r="382" spans="1:5" x14ac:dyDescent="0.25">
      <c r="A382"/>
      <c r="B382"/>
      <c r="C382"/>
      <c r="D382"/>
      <c r="E382"/>
    </row>
    <row r="383" spans="1:5" x14ac:dyDescent="0.25">
      <c r="A383"/>
      <c r="B383"/>
      <c r="C383"/>
      <c r="D383"/>
      <c r="E383"/>
    </row>
    <row r="384" spans="1:5" x14ac:dyDescent="0.25">
      <c r="A384"/>
      <c r="B384"/>
      <c r="C384"/>
      <c r="D384"/>
      <c r="E384"/>
    </row>
    <row r="385" spans="1:5" x14ac:dyDescent="0.25">
      <c r="A385"/>
      <c r="B385"/>
      <c r="C385"/>
      <c r="D385"/>
      <c r="E385"/>
    </row>
    <row r="386" spans="1:5" x14ac:dyDescent="0.25">
      <c r="A386"/>
      <c r="B386"/>
      <c r="C386"/>
      <c r="D386"/>
      <c r="E386"/>
    </row>
    <row r="387" spans="1:5" x14ac:dyDescent="0.25">
      <c r="A387"/>
      <c r="B387"/>
      <c r="C387"/>
      <c r="D387"/>
      <c r="E387"/>
    </row>
    <row r="388" spans="1:5" x14ac:dyDescent="0.25">
      <c r="A388"/>
      <c r="B388"/>
      <c r="C388"/>
      <c r="D388"/>
      <c r="E388"/>
    </row>
    <row r="389" spans="1:5" x14ac:dyDescent="0.25">
      <c r="A389"/>
      <c r="B389"/>
      <c r="C389"/>
      <c r="D389"/>
      <c r="E389"/>
    </row>
    <row r="390" spans="1:5" x14ac:dyDescent="0.25">
      <c r="A390"/>
      <c r="B390"/>
      <c r="C390"/>
      <c r="D390"/>
      <c r="E390"/>
    </row>
    <row r="391" spans="1:5" x14ac:dyDescent="0.25">
      <c r="A391"/>
      <c r="B391"/>
      <c r="C391"/>
      <c r="D391"/>
      <c r="E391"/>
    </row>
    <row r="392" spans="1:5" x14ac:dyDescent="0.25">
      <c r="A392"/>
      <c r="B392"/>
      <c r="C392"/>
      <c r="D392"/>
      <c r="E392"/>
    </row>
    <row r="393" spans="1:5" x14ac:dyDescent="0.25">
      <c r="A393"/>
      <c r="B393"/>
      <c r="C393"/>
      <c r="D393"/>
      <c r="E393"/>
    </row>
    <row r="394" spans="1:5" x14ac:dyDescent="0.25">
      <c r="A394"/>
      <c r="B394"/>
      <c r="C394"/>
      <c r="D394"/>
      <c r="E394"/>
    </row>
    <row r="395" spans="1:5" x14ac:dyDescent="0.25">
      <c r="A395"/>
      <c r="B395"/>
      <c r="C395"/>
      <c r="D395"/>
      <c r="E395"/>
    </row>
    <row r="396" spans="1:5" x14ac:dyDescent="0.25">
      <c r="A396"/>
      <c r="B396"/>
      <c r="C396"/>
      <c r="D396"/>
      <c r="E396"/>
    </row>
    <row r="397" spans="1:5" x14ac:dyDescent="0.25">
      <c r="A397"/>
      <c r="B397"/>
      <c r="C397"/>
      <c r="D397"/>
      <c r="E397"/>
    </row>
    <row r="398" spans="1:5" x14ac:dyDescent="0.25">
      <c r="A398"/>
      <c r="B398"/>
      <c r="C398"/>
      <c r="D398"/>
      <c r="E398"/>
    </row>
    <row r="399" spans="1:5" x14ac:dyDescent="0.25">
      <c r="A399"/>
      <c r="B399"/>
      <c r="C399"/>
      <c r="D399"/>
      <c r="E399"/>
    </row>
    <row r="400" spans="1:5" x14ac:dyDescent="0.25">
      <c r="A400"/>
      <c r="B400"/>
      <c r="C400"/>
      <c r="D400"/>
      <c r="E400"/>
    </row>
    <row r="401" spans="1:5" x14ac:dyDescent="0.25">
      <c r="A401"/>
      <c r="B401"/>
      <c r="C401"/>
      <c r="D401"/>
      <c r="E401"/>
    </row>
    <row r="402" spans="1:5" x14ac:dyDescent="0.25">
      <c r="A402"/>
      <c r="B402"/>
      <c r="C402"/>
      <c r="D402"/>
      <c r="E402"/>
    </row>
    <row r="403" spans="1:5" x14ac:dyDescent="0.25">
      <c r="A403"/>
      <c r="B403"/>
      <c r="C403"/>
      <c r="D403"/>
      <c r="E403"/>
    </row>
    <row r="404" spans="1:5" x14ac:dyDescent="0.25">
      <c r="A404"/>
      <c r="B404"/>
      <c r="C404"/>
      <c r="D404"/>
      <c r="E404"/>
    </row>
    <row r="405" spans="1:5" x14ac:dyDescent="0.25">
      <c r="A405"/>
      <c r="B405"/>
      <c r="C405"/>
      <c r="D405"/>
      <c r="E405"/>
    </row>
    <row r="406" spans="1:5" x14ac:dyDescent="0.25">
      <c r="A406"/>
      <c r="B406"/>
      <c r="C406"/>
      <c r="D406"/>
      <c r="E406"/>
    </row>
    <row r="407" spans="1:5" x14ac:dyDescent="0.25">
      <c r="A407"/>
      <c r="B407"/>
      <c r="C407"/>
      <c r="D407"/>
      <c r="E407"/>
    </row>
    <row r="408" spans="1:5" x14ac:dyDescent="0.25">
      <c r="A408"/>
      <c r="B408"/>
      <c r="C408"/>
      <c r="D408"/>
      <c r="E408"/>
    </row>
    <row r="409" spans="1:5" x14ac:dyDescent="0.25">
      <c r="A409"/>
      <c r="B409"/>
      <c r="C409"/>
      <c r="D409"/>
      <c r="E409"/>
    </row>
    <row r="410" spans="1:5" x14ac:dyDescent="0.25">
      <c r="A410"/>
      <c r="B410"/>
      <c r="C410"/>
      <c r="D410"/>
      <c r="E410"/>
    </row>
    <row r="411" spans="1:5" x14ac:dyDescent="0.25">
      <c r="A411"/>
      <c r="B411"/>
      <c r="C411"/>
      <c r="D411"/>
      <c r="E411"/>
    </row>
    <row r="412" spans="1:5" x14ac:dyDescent="0.25">
      <c r="A412"/>
      <c r="B412"/>
      <c r="C412"/>
      <c r="D412"/>
      <c r="E412"/>
    </row>
    <row r="413" spans="1:5" x14ac:dyDescent="0.25">
      <c r="A413"/>
      <c r="B413"/>
      <c r="C413"/>
      <c r="D413"/>
      <c r="E413"/>
    </row>
    <row r="414" spans="1:5" x14ac:dyDescent="0.25">
      <c r="A414"/>
      <c r="B414"/>
      <c r="C414"/>
      <c r="D414"/>
      <c r="E414"/>
    </row>
    <row r="415" spans="1:5" x14ac:dyDescent="0.25">
      <c r="A415"/>
      <c r="B415"/>
      <c r="C415"/>
      <c r="D415"/>
      <c r="E415"/>
    </row>
    <row r="416" spans="1:5" x14ac:dyDescent="0.25">
      <c r="A416"/>
      <c r="B416"/>
      <c r="C416"/>
      <c r="D416"/>
      <c r="E416"/>
    </row>
    <row r="417" spans="1:5" x14ac:dyDescent="0.25">
      <c r="A417"/>
      <c r="B417"/>
      <c r="C417"/>
      <c r="D417"/>
      <c r="E417"/>
    </row>
    <row r="418" spans="1:5" x14ac:dyDescent="0.25">
      <c r="A418"/>
      <c r="B418"/>
      <c r="C418"/>
      <c r="D418"/>
      <c r="E418"/>
    </row>
    <row r="419" spans="1:5" x14ac:dyDescent="0.25">
      <c r="A419"/>
      <c r="B419"/>
      <c r="C419"/>
      <c r="D419"/>
      <c r="E419"/>
    </row>
    <row r="420" spans="1:5" x14ac:dyDescent="0.25">
      <c r="A420"/>
      <c r="B420"/>
      <c r="C420"/>
      <c r="D420"/>
      <c r="E420"/>
    </row>
    <row r="421" spans="1:5" x14ac:dyDescent="0.25">
      <c r="A421"/>
      <c r="B421"/>
      <c r="C421"/>
      <c r="D421"/>
      <c r="E421"/>
    </row>
    <row r="422" spans="1:5" x14ac:dyDescent="0.25">
      <c r="A422"/>
      <c r="B422"/>
      <c r="C422"/>
      <c r="D422"/>
      <c r="E422"/>
    </row>
    <row r="423" spans="1:5" x14ac:dyDescent="0.25">
      <c r="A423"/>
      <c r="B423"/>
      <c r="C423"/>
      <c r="D423"/>
      <c r="E423"/>
    </row>
    <row r="424" spans="1:5" x14ac:dyDescent="0.25">
      <c r="A424"/>
      <c r="B424"/>
      <c r="C424"/>
      <c r="D424"/>
      <c r="E424"/>
    </row>
    <row r="425" spans="1:5" x14ac:dyDescent="0.25">
      <c r="A425"/>
      <c r="B425"/>
      <c r="C425"/>
      <c r="D425"/>
      <c r="E425"/>
    </row>
    <row r="426" spans="1:5" x14ac:dyDescent="0.25">
      <c r="A426"/>
      <c r="B426"/>
      <c r="C426"/>
      <c r="D426"/>
      <c r="E426"/>
    </row>
    <row r="427" spans="1:5" x14ac:dyDescent="0.25">
      <c r="A427"/>
      <c r="B427"/>
      <c r="C427"/>
      <c r="D427"/>
      <c r="E427"/>
    </row>
    <row r="428" spans="1:5" x14ac:dyDescent="0.25">
      <c r="A428"/>
      <c r="B428"/>
      <c r="C428"/>
      <c r="D428"/>
      <c r="E428"/>
    </row>
    <row r="429" spans="1:5" x14ac:dyDescent="0.25">
      <c r="A429"/>
      <c r="B429"/>
      <c r="C429"/>
      <c r="D429"/>
      <c r="E429"/>
    </row>
    <row r="430" spans="1:5" x14ac:dyDescent="0.25">
      <c r="A430"/>
      <c r="B430"/>
      <c r="C430"/>
      <c r="D430"/>
      <c r="E430"/>
    </row>
    <row r="431" spans="1:5" x14ac:dyDescent="0.25">
      <c r="A431"/>
      <c r="B431"/>
      <c r="C431"/>
      <c r="D431"/>
      <c r="E431"/>
    </row>
    <row r="432" spans="1:5" x14ac:dyDescent="0.25">
      <c r="A432"/>
      <c r="B432"/>
      <c r="C432"/>
      <c r="D432"/>
      <c r="E432"/>
    </row>
    <row r="433" spans="1:5" x14ac:dyDescent="0.25">
      <c r="A433"/>
      <c r="B433"/>
      <c r="C433"/>
      <c r="D433"/>
      <c r="E433"/>
    </row>
    <row r="434" spans="1:5" x14ac:dyDescent="0.25">
      <c r="A434"/>
      <c r="B434"/>
      <c r="C434"/>
      <c r="D434"/>
      <c r="E434"/>
    </row>
    <row r="435" spans="1:5" x14ac:dyDescent="0.25">
      <c r="A435"/>
      <c r="B435"/>
      <c r="C435"/>
      <c r="D435"/>
      <c r="E435"/>
    </row>
    <row r="436" spans="1:5" x14ac:dyDescent="0.25">
      <c r="A436"/>
      <c r="B436"/>
      <c r="C436"/>
      <c r="D436"/>
      <c r="E436"/>
    </row>
    <row r="437" spans="1:5" x14ac:dyDescent="0.25">
      <c r="A437"/>
      <c r="B437"/>
      <c r="C437"/>
      <c r="D437"/>
      <c r="E437"/>
    </row>
    <row r="438" spans="1:5" x14ac:dyDescent="0.25">
      <c r="A438"/>
      <c r="B438"/>
      <c r="C438"/>
      <c r="D438"/>
      <c r="E438"/>
    </row>
    <row r="439" spans="1:5" x14ac:dyDescent="0.25">
      <c r="A439"/>
      <c r="B439"/>
      <c r="C439"/>
      <c r="D439"/>
      <c r="E439"/>
    </row>
    <row r="440" spans="1:5" x14ac:dyDescent="0.25">
      <c r="A440"/>
      <c r="B440"/>
      <c r="C440"/>
      <c r="D440"/>
      <c r="E440"/>
    </row>
    <row r="441" spans="1:5" x14ac:dyDescent="0.25">
      <c r="A441"/>
      <c r="B441"/>
      <c r="C441"/>
      <c r="D441"/>
      <c r="E441"/>
    </row>
    <row r="442" spans="1:5" x14ac:dyDescent="0.25">
      <c r="A442"/>
      <c r="B442"/>
      <c r="C442"/>
      <c r="D442"/>
      <c r="E442"/>
    </row>
    <row r="443" spans="1:5" x14ac:dyDescent="0.25">
      <c r="A443"/>
      <c r="B443"/>
      <c r="C443"/>
      <c r="D443"/>
      <c r="E443"/>
    </row>
    <row r="444" spans="1:5" x14ac:dyDescent="0.25">
      <c r="A444"/>
      <c r="B444"/>
      <c r="C444"/>
      <c r="D444"/>
      <c r="E444"/>
    </row>
    <row r="445" spans="1:5" x14ac:dyDescent="0.25">
      <c r="A445"/>
      <c r="B445"/>
      <c r="C445"/>
      <c r="D445"/>
      <c r="E445"/>
    </row>
    <row r="446" spans="1:5" x14ac:dyDescent="0.25">
      <c r="A446"/>
      <c r="B446"/>
      <c r="C446"/>
      <c r="D446"/>
      <c r="E446"/>
    </row>
    <row r="447" spans="1:5" x14ac:dyDescent="0.25">
      <c r="A447"/>
      <c r="B447"/>
      <c r="C447"/>
      <c r="D447"/>
      <c r="E447"/>
    </row>
    <row r="448" spans="1:5" x14ac:dyDescent="0.25">
      <c r="A448"/>
      <c r="B448"/>
      <c r="C448"/>
      <c r="D448"/>
      <c r="E448"/>
    </row>
    <row r="449" spans="1:5" x14ac:dyDescent="0.25">
      <c r="A449"/>
      <c r="B449"/>
      <c r="C449"/>
      <c r="D449"/>
      <c r="E449"/>
    </row>
    <row r="450" spans="1:5" x14ac:dyDescent="0.25">
      <c r="A450"/>
      <c r="B450"/>
      <c r="C450"/>
      <c r="D450"/>
      <c r="E450"/>
    </row>
    <row r="451" spans="1:5" x14ac:dyDescent="0.25">
      <c r="A451"/>
      <c r="B451"/>
      <c r="C451"/>
      <c r="D451"/>
      <c r="E451"/>
    </row>
    <row r="452" spans="1:5" x14ac:dyDescent="0.25">
      <c r="A452"/>
      <c r="B452"/>
      <c r="C452"/>
      <c r="D452"/>
      <c r="E452"/>
    </row>
    <row r="453" spans="1:5" x14ac:dyDescent="0.25">
      <c r="A453"/>
      <c r="B453"/>
      <c r="C453"/>
      <c r="D453"/>
      <c r="E453"/>
    </row>
    <row r="454" spans="1:5" x14ac:dyDescent="0.25">
      <c r="A454"/>
      <c r="B454"/>
      <c r="C454"/>
      <c r="D454"/>
      <c r="E454"/>
    </row>
    <row r="455" spans="1:5" x14ac:dyDescent="0.25">
      <c r="A455"/>
      <c r="B455"/>
      <c r="C455"/>
      <c r="D455"/>
      <c r="E455"/>
    </row>
    <row r="456" spans="1:5" x14ac:dyDescent="0.25">
      <c r="A456"/>
      <c r="B456"/>
      <c r="C456"/>
      <c r="D456"/>
      <c r="E456"/>
    </row>
    <row r="457" spans="1:5" x14ac:dyDescent="0.25">
      <c r="A457"/>
      <c r="B457"/>
      <c r="C457"/>
      <c r="D457"/>
      <c r="E457"/>
    </row>
    <row r="458" spans="1:5" x14ac:dyDescent="0.25">
      <c r="A458"/>
      <c r="B458"/>
      <c r="C458"/>
      <c r="D458"/>
      <c r="E458"/>
    </row>
    <row r="459" spans="1:5" x14ac:dyDescent="0.25">
      <c r="A459"/>
      <c r="B459"/>
      <c r="C459"/>
      <c r="D459"/>
      <c r="E459"/>
    </row>
    <row r="460" spans="1:5" x14ac:dyDescent="0.25">
      <c r="A460"/>
      <c r="B460"/>
      <c r="C460"/>
      <c r="D460"/>
      <c r="E460"/>
    </row>
    <row r="461" spans="1:5" x14ac:dyDescent="0.25">
      <c r="A461"/>
      <c r="B461"/>
      <c r="C461"/>
      <c r="D461"/>
      <c r="E461"/>
    </row>
    <row r="462" spans="1:5" x14ac:dyDescent="0.25">
      <c r="A462"/>
      <c r="B462"/>
      <c r="C462"/>
      <c r="D462"/>
      <c r="E462"/>
    </row>
    <row r="463" spans="1:5" x14ac:dyDescent="0.25">
      <c r="A463"/>
      <c r="B463"/>
      <c r="C463"/>
      <c r="D463"/>
      <c r="E463"/>
    </row>
    <row r="464" spans="1:5" x14ac:dyDescent="0.25">
      <c r="A464"/>
      <c r="B464"/>
      <c r="C464"/>
      <c r="D464"/>
      <c r="E464"/>
    </row>
    <row r="465" spans="1:5" x14ac:dyDescent="0.25">
      <c r="A465"/>
      <c r="B465"/>
      <c r="C465"/>
      <c r="D465"/>
      <c r="E465"/>
    </row>
    <row r="466" spans="1:5" x14ac:dyDescent="0.25">
      <c r="A466"/>
      <c r="B466"/>
      <c r="C466"/>
      <c r="D466"/>
      <c r="E466"/>
    </row>
    <row r="467" spans="1:5" x14ac:dyDescent="0.25">
      <c r="A467"/>
      <c r="B467"/>
      <c r="C467"/>
      <c r="D467"/>
      <c r="E467"/>
    </row>
    <row r="468" spans="1:5" x14ac:dyDescent="0.25">
      <c r="A468"/>
      <c r="B468"/>
      <c r="C468"/>
      <c r="D468"/>
      <c r="E468"/>
    </row>
    <row r="469" spans="1:5" x14ac:dyDescent="0.25">
      <c r="A469"/>
      <c r="B469"/>
      <c r="C469"/>
      <c r="D469"/>
      <c r="E469"/>
    </row>
    <row r="470" spans="1:5" x14ac:dyDescent="0.25">
      <c r="A470"/>
      <c r="B470"/>
      <c r="C470"/>
      <c r="D470"/>
      <c r="E470"/>
    </row>
    <row r="471" spans="1:5" x14ac:dyDescent="0.25">
      <c r="A471"/>
      <c r="B471"/>
      <c r="C471"/>
      <c r="D471"/>
      <c r="E471"/>
    </row>
    <row r="472" spans="1:5" x14ac:dyDescent="0.25">
      <c r="A472"/>
      <c r="B472"/>
      <c r="C472"/>
      <c r="D472"/>
      <c r="E472"/>
    </row>
    <row r="473" spans="1:5" x14ac:dyDescent="0.25">
      <c r="A473"/>
      <c r="B473"/>
      <c r="C473"/>
      <c r="D473"/>
      <c r="E473"/>
    </row>
    <row r="474" spans="1:5" x14ac:dyDescent="0.25">
      <c r="A474"/>
      <c r="B474"/>
      <c r="C474"/>
      <c r="D474"/>
      <c r="E474"/>
    </row>
    <row r="475" spans="1:5" x14ac:dyDescent="0.25">
      <c r="A475"/>
      <c r="B475"/>
      <c r="C475"/>
      <c r="D475"/>
      <c r="E475"/>
    </row>
    <row r="476" spans="1:5" x14ac:dyDescent="0.25">
      <c r="A476"/>
      <c r="B476"/>
      <c r="C476"/>
      <c r="D476"/>
      <c r="E476"/>
    </row>
    <row r="477" spans="1:5" x14ac:dyDescent="0.25">
      <c r="A477"/>
      <c r="B477"/>
      <c r="C477"/>
      <c r="D477"/>
      <c r="E477"/>
    </row>
    <row r="478" spans="1:5" x14ac:dyDescent="0.25">
      <c r="A478"/>
      <c r="B478"/>
      <c r="C478"/>
      <c r="D478"/>
      <c r="E478"/>
    </row>
    <row r="479" spans="1:5" x14ac:dyDescent="0.25">
      <c r="A479"/>
      <c r="B479"/>
      <c r="C479"/>
      <c r="D479"/>
      <c r="E479"/>
    </row>
    <row r="480" spans="1:5" x14ac:dyDescent="0.25">
      <c r="A480"/>
      <c r="B480"/>
      <c r="C480"/>
      <c r="D480"/>
      <c r="E480"/>
    </row>
    <row r="481" spans="1:5" x14ac:dyDescent="0.25">
      <c r="A481"/>
      <c r="B481"/>
      <c r="C481"/>
      <c r="D481"/>
      <c r="E481"/>
    </row>
    <row r="482" spans="1:5" x14ac:dyDescent="0.25">
      <c r="A482"/>
      <c r="B482"/>
      <c r="C482"/>
      <c r="D482"/>
      <c r="E482"/>
    </row>
    <row r="483" spans="1:5" x14ac:dyDescent="0.25">
      <c r="A483"/>
      <c r="B483"/>
      <c r="C483"/>
      <c r="D483"/>
      <c r="E483"/>
    </row>
    <row r="484" spans="1:5" x14ac:dyDescent="0.25">
      <c r="A484"/>
      <c r="B484"/>
      <c r="C484"/>
      <c r="D484"/>
      <c r="E484"/>
    </row>
    <row r="485" spans="1:5" x14ac:dyDescent="0.25">
      <c r="A485"/>
      <c r="B485"/>
      <c r="C485"/>
      <c r="D485"/>
      <c r="E485"/>
    </row>
    <row r="486" spans="1:5" x14ac:dyDescent="0.25">
      <c r="A486"/>
      <c r="B486"/>
      <c r="C486"/>
      <c r="D486"/>
      <c r="E486"/>
    </row>
    <row r="487" spans="1:5" x14ac:dyDescent="0.25">
      <c r="A487"/>
      <c r="B487"/>
      <c r="C487"/>
      <c r="D487"/>
      <c r="E487"/>
    </row>
    <row r="488" spans="1:5" x14ac:dyDescent="0.25">
      <c r="A488"/>
      <c r="B488"/>
      <c r="C488"/>
      <c r="D488"/>
      <c r="E488"/>
    </row>
    <row r="489" spans="1:5" x14ac:dyDescent="0.25">
      <c r="A489"/>
      <c r="B489"/>
      <c r="C489"/>
      <c r="D489"/>
      <c r="E489"/>
    </row>
    <row r="490" spans="1:5" x14ac:dyDescent="0.25">
      <c r="A490"/>
      <c r="B490"/>
      <c r="C490"/>
      <c r="D490"/>
      <c r="E490"/>
    </row>
    <row r="491" spans="1:5" x14ac:dyDescent="0.25">
      <c r="A491"/>
      <c r="B491"/>
      <c r="C491"/>
      <c r="D491"/>
      <c r="E491"/>
    </row>
    <row r="492" spans="1:5" x14ac:dyDescent="0.25">
      <c r="A492"/>
      <c r="B492"/>
      <c r="C492"/>
      <c r="D492"/>
      <c r="E492"/>
    </row>
    <row r="493" spans="1:5" x14ac:dyDescent="0.25">
      <c r="A493"/>
      <c r="B493"/>
      <c r="C493"/>
      <c r="D493"/>
      <c r="E493"/>
    </row>
    <row r="494" spans="1:5" x14ac:dyDescent="0.25">
      <c r="A494"/>
      <c r="B494"/>
      <c r="C494"/>
      <c r="D494"/>
      <c r="E494"/>
    </row>
    <row r="495" spans="1:5" x14ac:dyDescent="0.25">
      <c r="A495"/>
      <c r="B495"/>
      <c r="C495"/>
      <c r="D495"/>
      <c r="E495"/>
    </row>
    <row r="496" spans="1:5" x14ac:dyDescent="0.25">
      <c r="A496"/>
      <c r="B496"/>
      <c r="C496"/>
      <c r="D496"/>
      <c r="E496"/>
    </row>
    <row r="497" spans="1:5" x14ac:dyDescent="0.25">
      <c r="A497"/>
      <c r="B497"/>
      <c r="C497"/>
      <c r="D497"/>
      <c r="E497"/>
    </row>
    <row r="498" spans="1:5" x14ac:dyDescent="0.25">
      <c r="A498"/>
      <c r="B498"/>
      <c r="C498"/>
      <c r="D498"/>
      <c r="E498"/>
    </row>
    <row r="499" spans="1:5" x14ac:dyDescent="0.25">
      <c r="A499"/>
      <c r="B499"/>
      <c r="C499"/>
      <c r="D499"/>
      <c r="E499"/>
    </row>
    <row r="500" spans="1:5" x14ac:dyDescent="0.25">
      <c r="A500"/>
      <c r="B500"/>
      <c r="C500"/>
      <c r="D500"/>
      <c r="E500"/>
    </row>
    <row r="501" spans="1:5" x14ac:dyDescent="0.25">
      <c r="A501"/>
      <c r="B501"/>
      <c r="C501"/>
      <c r="D501"/>
      <c r="E501"/>
    </row>
    <row r="502" spans="1:5" x14ac:dyDescent="0.25">
      <c r="A502"/>
      <c r="B502"/>
      <c r="C502"/>
      <c r="D502"/>
      <c r="E502"/>
    </row>
    <row r="503" spans="1:5" x14ac:dyDescent="0.25">
      <c r="A503"/>
      <c r="B503"/>
      <c r="C503"/>
      <c r="D503"/>
      <c r="E503"/>
    </row>
    <row r="504" spans="1:5" x14ac:dyDescent="0.25">
      <c r="A504"/>
      <c r="B504"/>
      <c r="C504"/>
      <c r="D504"/>
      <c r="E504"/>
    </row>
    <row r="505" spans="1:5" x14ac:dyDescent="0.25">
      <c r="A505"/>
      <c r="B505"/>
      <c r="C505"/>
      <c r="D505"/>
      <c r="E505"/>
    </row>
    <row r="506" spans="1:5" x14ac:dyDescent="0.25">
      <c r="A506"/>
      <c r="B506"/>
      <c r="C506"/>
      <c r="D506"/>
      <c r="E506"/>
    </row>
    <row r="507" spans="1:5" x14ac:dyDescent="0.25">
      <c r="A507"/>
      <c r="B507"/>
      <c r="C507"/>
      <c r="D507"/>
      <c r="E507"/>
    </row>
    <row r="508" spans="1:5" x14ac:dyDescent="0.25">
      <c r="A508"/>
      <c r="B508"/>
      <c r="C508"/>
      <c r="D508"/>
      <c r="E508"/>
    </row>
    <row r="509" spans="1:5" x14ac:dyDescent="0.25">
      <c r="A509"/>
      <c r="B509"/>
      <c r="C509"/>
      <c r="D509"/>
      <c r="E509"/>
    </row>
    <row r="510" spans="1:5" x14ac:dyDescent="0.25">
      <c r="A510"/>
      <c r="B510"/>
      <c r="C510"/>
      <c r="D510"/>
      <c r="E510"/>
    </row>
    <row r="511" spans="1:5" x14ac:dyDescent="0.25">
      <c r="A511"/>
      <c r="B511"/>
      <c r="C511"/>
      <c r="D511"/>
      <c r="E511"/>
    </row>
    <row r="512" spans="1:5" x14ac:dyDescent="0.25">
      <c r="A512"/>
      <c r="B512"/>
      <c r="C512"/>
      <c r="D512"/>
      <c r="E512"/>
    </row>
    <row r="513" spans="1:5" x14ac:dyDescent="0.25">
      <c r="A513"/>
      <c r="B513"/>
      <c r="C513"/>
      <c r="D513"/>
      <c r="E513"/>
    </row>
    <row r="514" spans="1:5" x14ac:dyDescent="0.25">
      <c r="A514"/>
      <c r="B514"/>
      <c r="C514"/>
      <c r="D514"/>
      <c r="E514"/>
    </row>
    <row r="515" spans="1:5" x14ac:dyDescent="0.25">
      <c r="A515"/>
      <c r="B515"/>
      <c r="C515"/>
      <c r="D515"/>
      <c r="E515"/>
    </row>
    <row r="516" spans="1:5" x14ac:dyDescent="0.25">
      <c r="A516"/>
      <c r="B516"/>
      <c r="C516"/>
      <c r="D516"/>
      <c r="E516"/>
    </row>
    <row r="517" spans="1:5" x14ac:dyDescent="0.25">
      <c r="A517"/>
      <c r="B517"/>
      <c r="C517"/>
      <c r="D517"/>
      <c r="E517"/>
    </row>
    <row r="518" spans="1:5" x14ac:dyDescent="0.25">
      <c r="A518"/>
      <c r="B518"/>
      <c r="C518"/>
      <c r="D518"/>
      <c r="E518"/>
    </row>
    <row r="519" spans="1:5" x14ac:dyDescent="0.25">
      <c r="A519"/>
      <c r="B519"/>
      <c r="C519"/>
      <c r="D519"/>
      <c r="E519"/>
    </row>
    <row r="520" spans="1:5" x14ac:dyDescent="0.25">
      <c r="A520"/>
      <c r="B520"/>
      <c r="C520"/>
      <c r="D520"/>
      <c r="E520"/>
    </row>
    <row r="521" spans="1:5" x14ac:dyDescent="0.25">
      <c r="A521"/>
      <c r="B521"/>
      <c r="C521"/>
      <c r="D521"/>
      <c r="E521"/>
    </row>
    <row r="522" spans="1:5" x14ac:dyDescent="0.25">
      <c r="A522"/>
      <c r="B522"/>
      <c r="C522"/>
      <c r="D522"/>
      <c r="E522"/>
    </row>
    <row r="523" spans="1:5" x14ac:dyDescent="0.25">
      <c r="A523"/>
      <c r="B523"/>
      <c r="C523"/>
      <c r="D523"/>
      <c r="E523"/>
    </row>
    <row r="524" spans="1:5" x14ac:dyDescent="0.25">
      <c r="A524"/>
      <c r="B524"/>
      <c r="C524"/>
      <c r="D524"/>
      <c r="E524"/>
    </row>
    <row r="525" spans="1:5" x14ac:dyDescent="0.25">
      <c r="A525"/>
      <c r="B525"/>
      <c r="C525"/>
      <c r="D525"/>
      <c r="E525"/>
    </row>
    <row r="526" spans="1:5" x14ac:dyDescent="0.25">
      <c r="A526"/>
      <c r="B526"/>
      <c r="C526"/>
      <c r="D526"/>
      <c r="E526"/>
    </row>
    <row r="527" spans="1:5" x14ac:dyDescent="0.25">
      <c r="A527"/>
      <c r="B527"/>
      <c r="C527"/>
      <c r="D527"/>
      <c r="E527"/>
    </row>
    <row r="528" spans="1:5" x14ac:dyDescent="0.25">
      <c r="A528"/>
      <c r="B528"/>
      <c r="C528"/>
      <c r="D528"/>
      <c r="E528"/>
    </row>
    <row r="529" spans="1:5" x14ac:dyDescent="0.25">
      <c r="A529"/>
      <c r="B529"/>
      <c r="C529"/>
      <c r="D529"/>
      <c r="E529"/>
    </row>
    <row r="530" spans="1:5" x14ac:dyDescent="0.25">
      <c r="A530"/>
      <c r="B530"/>
      <c r="C530"/>
      <c r="D530"/>
      <c r="E530"/>
    </row>
    <row r="531" spans="1:5" x14ac:dyDescent="0.25">
      <c r="A531"/>
      <c r="B531"/>
      <c r="C531"/>
      <c r="D531"/>
      <c r="E531"/>
    </row>
    <row r="532" spans="1:5" x14ac:dyDescent="0.25">
      <c r="A532"/>
      <c r="B532"/>
      <c r="C532"/>
      <c r="D532"/>
      <c r="E532"/>
    </row>
    <row r="533" spans="1:5" x14ac:dyDescent="0.25">
      <c r="A533"/>
      <c r="B533"/>
      <c r="C533"/>
      <c r="D533"/>
      <c r="E533"/>
    </row>
    <row r="534" spans="1:5" x14ac:dyDescent="0.25">
      <c r="A534"/>
      <c r="B534"/>
      <c r="C534"/>
      <c r="D534"/>
      <c r="E534"/>
    </row>
    <row r="535" spans="1:5" x14ac:dyDescent="0.25">
      <c r="A535"/>
      <c r="B535"/>
      <c r="C535"/>
      <c r="D535"/>
      <c r="E535"/>
    </row>
    <row r="536" spans="1:5" x14ac:dyDescent="0.25">
      <c r="A536"/>
      <c r="B536"/>
      <c r="C536"/>
      <c r="D536"/>
      <c r="E536"/>
    </row>
    <row r="537" spans="1:5" x14ac:dyDescent="0.25">
      <c r="A537"/>
      <c r="B537"/>
      <c r="C537"/>
      <c r="D537"/>
      <c r="E537"/>
    </row>
    <row r="538" spans="1:5" x14ac:dyDescent="0.25">
      <c r="A538"/>
      <c r="B538"/>
      <c r="C538"/>
      <c r="D538"/>
      <c r="E538"/>
    </row>
    <row r="539" spans="1:5" x14ac:dyDescent="0.25">
      <c r="A539"/>
      <c r="B539"/>
      <c r="C539"/>
      <c r="D539"/>
      <c r="E539"/>
    </row>
    <row r="540" spans="1:5" x14ac:dyDescent="0.25">
      <c r="A540"/>
      <c r="B540"/>
      <c r="C540"/>
      <c r="D540"/>
      <c r="E540"/>
    </row>
    <row r="541" spans="1:5" x14ac:dyDescent="0.25">
      <c r="A541"/>
      <c r="B541"/>
      <c r="C541"/>
      <c r="D541"/>
      <c r="E541"/>
    </row>
    <row r="542" spans="1:5" x14ac:dyDescent="0.25">
      <c r="A542"/>
      <c r="B542"/>
      <c r="C542"/>
      <c r="D542"/>
      <c r="E542"/>
    </row>
    <row r="543" spans="1:5" x14ac:dyDescent="0.25">
      <c r="A543"/>
      <c r="B543"/>
      <c r="C543"/>
      <c r="D543"/>
      <c r="E543"/>
    </row>
    <row r="544" spans="1:5" x14ac:dyDescent="0.25">
      <c r="A544"/>
      <c r="B544"/>
      <c r="C544"/>
      <c r="D544"/>
      <c r="E544"/>
    </row>
    <row r="545" spans="1:5" x14ac:dyDescent="0.25">
      <c r="A545"/>
      <c r="B545"/>
      <c r="C545"/>
      <c r="D545"/>
      <c r="E545"/>
    </row>
    <row r="546" spans="1:5" x14ac:dyDescent="0.25">
      <c r="A546"/>
      <c r="B546"/>
      <c r="C546"/>
      <c r="D546"/>
      <c r="E546"/>
    </row>
    <row r="547" spans="1:5" x14ac:dyDescent="0.25">
      <c r="A547"/>
      <c r="B547"/>
      <c r="C547"/>
      <c r="D547"/>
      <c r="E547"/>
    </row>
    <row r="548" spans="1:5" x14ac:dyDescent="0.25">
      <c r="A548"/>
      <c r="B548"/>
      <c r="C548"/>
      <c r="D548"/>
      <c r="E548"/>
    </row>
    <row r="549" spans="1:5" x14ac:dyDescent="0.25">
      <c r="A549"/>
      <c r="B549"/>
      <c r="C549"/>
      <c r="D549"/>
      <c r="E549"/>
    </row>
    <row r="550" spans="1:5" x14ac:dyDescent="0.25">
      <c r="A550"/>
      <c r="B550"/>
      <c r="C550"/>
      <c r="D550"/>
      <c r="E550"/>
    </row>
    <row r="551" spans="1:5" x14ac:dyDescent="0.25">
      <c r="A551"/>
      <c r="B551"/>
      <c r="C551"/>
      <c r="D551"/>
      <c r="E551"/>
    </row>
    <row r="552" spans="1:5" x14ac:dyDescent="0.25">
      <c r="A552"/>
      <c r="B552"/>
      <c r="C552"/>
      <c r="D552"/>
      <c r="E552"/>
    </row>
    <row r="553" spans="1:5" x14ac:dyDescent="0.25">
      <c r="A553"/>
      <c r="B553"/>
      <c r="C553"/>
      <c r="D553"/>
      <c r="E553"/>
    </row>
    <row r="554" spans="1:5" x14ac:dyDescent="0.25">
      <c r="A554"/>
      <c r="B554"/>
      <c r="C554"/>
      <c r="D554"/>
      <c r="E554"/>
    </row>
    <row r="555" spans="1:5" x14ac:dyDescent="0.25">
      <c r="A555"/>
      <c r="B555"/>
      <c r="C555"/>
      <c r="D555"/>
      <c r="E555"/>
    </row>
    <row r="556" spans="1:5" x14ac:dyDescent="0.25">
      <c r="A556"/>
      <c r="B556"/>
      <c r="C556"/>
      <c r="D556"/>
      <c r="E556"/>
    </row>
    <row r="557" spans="1:5" x14ac:dyDescent="0.25">
      <c r="A557"/>
      <c r="B557"/>
      <c r="C557"/>
      <c r="D557"/>
      <c r="E557"/>
    </row>
    <row r="558" spans="1:5" x14ac:dyDescent="0.25">
      <c r="A558"/>
      <c r="B558"/>
      <c r="C558"/>
      <c r="D558"/>
      <c r="E558"/>
    </row>
    <row r="559" spans="1:5" x14ac:dyDescent="0.25">
      <c r="A559"/>
      <c r="B559"/>
      <c r="C559"/>
      <c r="D559"/>
      <c r="E559"/>
    </row>
    <row r="560" spans="1:5" x14ac:dyDescent="0.25">
      <c r="A560"/>
      <c r="B560"/>
      <c r="C560"/>
      <c r="D560"/>
      <c r="E560"/>
    </row>
    <row r="561" spans="1:5" x14ac:dyDescent="0.25">
      <c r="A561"/>
      <c r="B561"/>
      <c r="C561"/>
      <c r="D561"/>
      <c r="E561"/>
    </row>
    <row r="562" spans="1:5" x14ac:dyDescent="0.25">
      <c r="A562"/>
      <c r="B562"/>
      <c r="C562"/>
      <c r="D562"/>
      <c r="E562"/>
    </row>
    <row r="563" spans="1:5" x14ac:dyDescent="0.25">
      <c r="A563"/>
      <c r="B563"/>
      <c r="C563"/>
      <c r="D563"/>
      <c r="E563"/>
    </row>
    <row r="564" spans="1:5" x14ac:dyDescent="0.25">
      <c r="A564"/>
      <c r="B564"/>
      <c r="C564"/>
      <c r="D564"/>
      <c r="E564"/>
    </row>
    <row r="565" spans="1:5" x14ac:dyDescent="0.25">
      <c r="A565"/>
      <c r="B565"/>
      <c r="C565"/>
      <c r="D565"/>
      <c r="E565"/>
    </row>
    <row r="566" spans="1:5" x14ac:dyDescent="0.25">
      <c r="A566"/>
      <c r="B566"/>
      <c r="C566"/>
      <c r="D566"/>
      <c r="E566"/>
    </row>
    <row r="567" spans="1:5" x14ac:dyDescent="0.25">
      <c r="A567"/>
      <c r="B567"/>
      <c r="C567"/>
      <c r="D567"/>
      <c r="E567"/>
    </row>
    <row r="568" spans="1:5" x14ac:dyDescent="0.25">
      <c r="A568"/>
      <c r="B568"/>
      <c r="C568"/>
      <c r="D568"/>
      <c r="E568"/>
    </row>
    <row r="569" spans="1:5" x14ac:dyDescent="0.25">
      <c r="A569"/>
      <c r="B569"/>
      <c r="C569"/>
      <c r="D569"/>
      <c r="E569"/>
    </row>
    <row r="570" spans="1:5" x14ac:dyDescent="0.25">
      <c r="A570"/>
      <c r="B570"/>
      <c r="C570"/>
      <c r="D570"/>
      <c r="E570"/>
    </row>
    <row r="571" spans="1:5" x14ac:dyDescent="0.25">
      <c r="A571"/>
      <c r="B571"/>
      <c r="C571"/>
      <c r="D571"/>
      <c r="E571"/>
    </row>
    <row r="572" spans="1:5" x14ac:dyDescent="0.25">
      <c r="A572"/>
      <c r="B572"/>
      <c r="C572"/>
      <c r="D572"/>
      <c r="E572"/>
    </row>
    <row r="573" spans="1:5" x14ac:dyDescent="0.25">
      <c r="A573"/>
      <c r="B573"/>
      <c r="C573"/>
      <c r="D573"/>
      <c r="E573"/>
    </row>
    <row r="574" spans="1:5" x14ac:dyDescent="0.25">
      <c r="A574"/>
      <c r="B574"/>
      <c r="C574"/>
      <c r="D574"/>
      <c r="E574"/>
    </row>
    <row r="575" spans="1:5" x14ac:dyDescent="0.25">
      <c r="A575"/>
      <c r="B575"/>
      <c r="C575"/>
      <c r="D575"/>
      <c r="E575"/>
    </row>
    <row r="576" spans="1:5" x14ac:dyDescent="0.25">
      <c r="A576"/>
      <c r="B576"/>
      <c r="C576"/>
      <c r="D576"/>
      <c r="E576"/>
    </row>
    <row r="577" spans="1:5" x14ac:dyDescent="0.25">
      <c r="A577"/>
      <c r="B577"/>
      <c r="C577"/>
      <c r="D577"/>
      <c r="E577"/>
    </row>
    <row r="578" spans="1:5" x14ac:dyDescent="0.25">
      <c r="A578"/>
      <c r="B578"/>
      <c r="C578"/>
      <c r="D578"/>
      <c r="E578"/>
    </row>
    <row r="579" spans="1:5" x14ac:dyDescent="0.25">
      <c r="A579"/>
      <c r="B579"/>
      <c r="C579"/>
      <c r="D579"/>
      <c r="E579"/>
    </row>
    <row r="580" spans="1:5" x14ac:dyDescent="0.25">
      <c r="A580"/>
      <c r="B580"/>
      <c r="C580"/>
      <c r="D580"/>
      <c r="E580"/>
    </row>
    <row r="581" spans="1:5" x14ac:dyDescent="0.25">
      <c r="A581"/>
      <c r="B581"/>
      <c r="C581"/>
      <c r="D581"/>
      <c r="E581"/>
    </row>
    <row r="582" spans="1:5" x14ac:dyDescent="0.25">
      <c r="A582"/>
      <c r="B582"/>
      <c r="C582"/>
      <c r="D582"/>
      <c r="E582"/>
    </row>
    <row r="583" spans="1:5" x14ac:dyDescent="0.25">
      <c r="A583"/>
      <c r="B583"/>
      <c r="C583"/>
      <c r="D583"/>
      <c r="E583"/>
    </row>
    <row r="584" spans="1:5" x14ac:dyDescent="0.25">
      <c r="A584"/>
      <c r="B584"/>
      <c r="C584"/>
      <c r="D584"/>
      <c r="E584"/>
    </row>
    <row r="585" spans="1:5" x14ac:dyDescent="0.25">
      <c r="A585"/>
      <c r="B585"/>
      <c r="C585"/>
      <c r="D585"/>
      <c r="E585"/>
    </row>
    <row r="586" spans="1:5" x14ac:dyDescent="0.25">
      <c r="A586"/>
      <c r="B586"/>
      <c r="C586"/>
      <c r="D586"/>
      <c r="E586"/>
    </row>
    <row r="587" spans="1:5" x14ac:dyDescent="0.25">
      <c r="A587"/>
      <c r="B587"/>
      <c r="C587"/>
      <c r="D587"/>
      <c r="E587"/>
    </row>
    <row r="588" spans="1:5" x14ac:dyDescent="0.25">
      <c r="A588"/>
      <c r="B588"/>
      <c r="C588"/>
      <c r="D588"/>
      <c r="E588"/>
    </row>
    <row r="589" spans="1:5" x14ac:dyDescent="0.25">
      <c r="A589"/>
      <c r="B589"/>
      <c r="C589"/>
      <c r="D589"/>
      <c r="E589"/>
    </row>
    <row r="590" spans="1:5" x14ac:dyDescent="0.25">
      <c r="A590"/>
      <c r="B590"/>
      <c r="C590"/>
      <c r="D590"/>
      <c r="E590"/>
    </row>
    <row r="591" spans="1:5" x14ac:dyDescent="0.25">
      <c r="A591"/>
      <c r="B591"/>
      <c r="C591"/>
      <c r="D591"/>
      <c r="E591"/>
    </row>
    <row r="592" spans="1:5" x14ac:dyDescent="0.25">
      <c r="A592"/>
      <c r="B592"/>
      <c r="C592"/>
      <c r="D592"/>
      <c r="E592"/>
    </row>
    <row r="593" spans="1:5" x14ac:dyDescent="0.25">
      <c r="A593"/>
      <c r="B593"/>
      <c r="C593"/>
      <c r="D593"/>
      <c r="E593"/>
    </row>
    <row r="594" spans="1:5" x14ac:dyDescent="0.25">
      <c r="A594"/>
      <c r="B594"/>
      <c r="C594"/>
      <c r="D594"/>
      <c r="E594"/>
    </row>
    <row r="595" spans="1:5" x14ac:dyDescent="0.25">
      <c r="A595"/>
      <c r="B595"/>
      <c r="C595"/>
      <c r="D595"/>
      <c r="E595"/>
    </row>
    <row r="596" spans="1:5" x14ac:dyDescent="0.25">
      <c r="A596"/>
      <c r="B596"/>
      <c r="C596"/>
      <c r="D596"/>
      <c r="E596"/>
    </row>
    <row r="597" spans="1:5" x14ac:dyDescent="0.25">
      <c r="A597"/>
      <c r="B597"/>
      <c r="C597"/>
      <c r="D597"/>
      <c r="E597"/>
    </row>
    <row r="598" spans="1:5" x14ac:dyDescent="0.25">
      <c r="A598"/>
      <c r="B598"/>
      <c r="C598"/>
      <c r="D598"/>
      <c r="E598"/>
    </row>
    <row r="599" spans="1:5" x14ac:dyDescent="0.25">
      <c r="A599"/>
      <c r="B599"/>
      <c r="C599"/>
      <c r="D599"/>
      <c r="E599"/>
    </row>
    <row r="600" spans="1:5" x14ac:dyDescent="0.25">
      <c r="A600"/>
      <c r="B600"/>
      <c r="C600"/>
      <c r="D600"/>
      <c r="E600"/>
    </row>
    <row r="601" spans="1:5" x14ac:dyDescent="0.25">
      <c r="A601"/>
      <c r="B601"/>
      <c r="C601"/>
      <c r="D601"/>
      <c r="E601"/>
    </row>
    <row r="602" spans="1:5" x14ac:dyDescent="0.25">
      <c r="A602"/>
      <c r="B602"/>
      <c r="C602"/>
      <c r="D602"/>
      <c r="E602"/>
    </row>
    <row r="603" spans="1:5" x14ac:dyDescent="0.25">
      <c r="A603"/>
      <c r="B603"/>
      <c r="C603"/>
      <c r="D603"/>
      <c r="E603"/>
    </row>
    <row r="604" spans="1:5" x14ac:dyDescent="0.25">
      <c r="A604"/>
      <c r="B604"/>
      <c r="C604"/>
      <c r="D604"/>
      <c r="E604"/>
    </row>
    <row r="605" spans="1:5" x14ac:dyDescent="0.25">
      <c r="A605"/>
      <c r="B605"/>
      <c r="C605"/>
      <c r="D605"/>
      <c r="E605"/>
    </row>
    <row r="606" spans="1:5" x14ac:dyDescent="0.25">
      <c r="A606"/>
      <c r="B606"/>
      <c r="C606"/>
      <c r="D606"/>
      <c r="E606"/>
    </row>
    <row r="607" spans="1:5" x14ac:dyDescent="0.25">
      <c r="A607"/>
      <c r="B607"/>
      <c r="C607"/>
      <c r="D607"/>
      <c r="E607"/>
    </row>
    <row r="608" spans="1:5" x14ac:dyDescent="0.25">
      <c r="A608"/>
      <c r="B608"/>
      <c r="C608"/>
      <c r="D608"/>
      <c r="E608"/>
    </row>
    <row r="609" spans="1:5" x14ac:dyDescent="0.25">
      <c r="A609"/>
      <c r="B609"/>
      <c r="C609"/>
      <c r="D609"/>
      <c r="E609"/>
    </row>
    <row r="610" spans="1:5" x14ac:dyDescent="0.25">
      <c r="A610"/>
      <c r="B610"/>
      <c r="C610"/>
      <c r="D610"/>
      <c r="E610"/>
    </row>
    <row r="611" spans="1:5" x14ac:dyDescent="0.25">
      <c r="A611"/>
      <c r="B611"/>
      <c r="C611"/>
      <c r="D611"/>
      <c r="E611"/>
    </row>
    <row r="612" spans="1:5" x14ac:dyDescent="0.25">
      <c r="A612"/>
      <c r="B612"/>
      <c r="C612"/>
      <c r="D612"/>
      <c r="E612"/>
    </row>
    <row r="613" spans="1:5" x14ac:dyDescent="0.25">
      <c r="A613"/>
      <c r="B613"/>
      <c r="C613"/>
      <c r="D613"/>
      <c r="E613"/>
    </row>
    <row r="614" spans="1:5" x14ac:dyDescent="0.25">
      <c r="A614"/>
      <c r="B614"/>
      <c r="C614"/>
      <c r="D614"/>
      <c r="E614"/>
    </row>
    <row r="615" spans="1:5" x14ac:dyDescent="0.25">
      <c r="A615"/>
      <c r="B615"/>
      <c r="C615"/>
      <c r="D615"/>
      <c r="E615"/>
    </row>
    <row r="616" spans="1:5" x14ac:dyDescent="0.25">
      <c r="A616"/>
      <c r="B616"/>
      <c r="C616"/>
      <c r="D616"/>
      <c r="E616"/>
    </row>
    <row r="617" spans="1:5" x14ac:dyDescent="0.25">
      <c r="A617"/>
      <c r="B617"/>
      <c r="C617"/>
      <c r="D617"/>
      <c r="E617"/>
    </row>
    <row r="618" spans="1:5" x14ac:dyDescent="0.25">
      <c r="A618"/>
      <c r="B618"/>
      <c r="C618"/>
      <c r="D618"/>
      <c r="E618"/>
    </row>
    <row r="619" spans="1:5" x14ac:dyDescent="0.25">
      <c r="A619"/>
      <c r="B619"/>
      <c r="C619"/>
      <c r="D619"/>
      <c r="E619"/>
    </row>
    <row r="620" spans="1:5" x14ac:dyDescent="0.25">
      <c r="A620"/>
      <c r="B620"/>
      <c r="C620"/>
      <c r="D620"/>
      <c r="E620"/>
    </row>
    <row r="621" spans="1:5" x14ac:dyDescent="0.25">
      <c r="A621"/>
      <c r="B621"/>
      <c r="C621"/>
      <c r="D621"/>
      <c r="E621"/>
    </row>
    <row r="622" spans="1:5" x14ac:dyDescent="0.25">
      <c r="A622"/>
      <c r="B622"/>
      <c r="C622"/>
      <c r="D622"/>
      <c r="E622"/>
    </row>
    <row r="623" spans="1:5" x14ac:dyDescent="0.25">
      <c r="A623"/>
      <c r="B623"/>
      <c r="C623"/>
      <c r="D623"/>
      <c r="E623"/>
    </row>
    <row r="624" spans="1:5" x14ac:dyDescent="0.25">
      <c r="A624"/>
      <c r="B624"/>
      <c r="C624"/>
      <c r="D624"/>
      <c r="E624"/>
    </row>
    <row r="625" spans="1:5" x14ac:dyDescent="0.25">
      <c r="A625"/>
      <c r="B625"/>
      <c r="C625"/>
      <c r="D625"/>
      <c r="E625"/>
    </row>
    <row r="626" spans="1:5" x14ac:dyDescent="0.25">
      <c r="A626"/>
      <c r="B626"/>
      <c r="C626"/>
      <c r="D626"/>
      <c r="E626"/>
    </row>
    <row r="627" spans="1:5" x14ac:dyDescent="0.25">
      <c r="A627"/>
      <c r="B627"/>
      <c r="C627"/>
      <c r="D627"/>
      <c r="E627"/>
    </row>
    <row r="628" spans="1:5" x14ac:dyDescent="0.25">
      <c r="A628"/>
      <c r="B628"/>
      <c r="C628"/>
      <c r="D628"/>
      <c r="E628"/>
    </row>
    <row r="629" spans="1:5" x14ac:dyDescent="0.25">
      <c r="A629"/>
      <c r="B629"/>
      <c r="C629"/>
      <c r="D629"/>
      <c r="E629"/>
    </row>
    <row r="630" spans="1:5" x14ac:dyDescent="0.25">
      <c r="A630"/>
      <c r="B630"/>
      <c r="C630"/>
      <c r="D630"/>
      <c r="E630"/>
    </row>
    <row r="631" spans="1:5" x14ac:dyDescent="0.25">
      <c r="A631"/>
      <c r="B631"/>
      <c r="C631"/>
      <c r="D631"/>
      <c r="E631"/>
    </row>
    <row r="632" spans="1:5" x14ac:dyDescent="0.25">
      <c r="A632"/>
      <c r="B632"/>
      <c r="C632"/>
      <c r="D632"/>
      <c r="E632"/>
    </row>
    <row r="633" spans="1:5" x14ac:dyDescent="0.25">
      <c r="A633"/>
      <c r="B633"/>
      <c r="C633"/>
      <c r="D633"/>
      <c r="E633"/>
    </row>
    <row r="634" spans="1:5" x14ac:dyDescent="0.25">
      <c r="A634"/>
      <c r="B634"/>
      <c r="C634"/>
      <c r="D634"/>
      <c r="E634"/>
    </row>
    <row r="635" spans="1:5" x14ac:dyDescent="0.25">
      <c r="A635"/>
      <c r="B635"/>
      <c r="C635"/>
      <c r="D635"/>
      <c r="E635"/>
    </row>
    <row r="636" spans="1:5" x14ac:dyDescent="0.25">
      <c r="A636"/>
      <c r="B636"/>
      <c r="C636"/>
      <c r="D636"/>
      <c r="E636"/>
    </row>
    <row r="637" spans="1:5" x14ac:dyDescent="0.25">
      <c r="A637"/>
      <c r="B637"/>
      <c r="C637"/>
      <c r="D637"/>
      <c r="E637"/>
    </row>
    <row r="638" spans="1:5" x14ac:dyDescent="0.25">
      <c r="A638"/>
      <c r="B638"/>
      <c r="C638"/>
      <c r="D638"/>
      <c r="E638"/>
    </row>
    <row r="639" spans="1:5" x14ac:dyDescent="0.25">
      <c r="A639"/>
      <c r="B639"/>
      <c r="C639"/>
      <c r="D639"/>
      <c r="E639"/>
    </row>
    <row r="640" spans="1:5" x14ac:dyDescent="0.25">
      <c r="A640"/>
      <c r="B640"/>
      <c r="C640"/>
      <c r="D640"/>
      <c r="E640"/>
    </row>
    <row r="641" spans="1:5" x14ac:dyDescent="0.25">
      <c r="A641"/>
      <c r="B641"/>
      <c r="C641"/>
      <c r="D641"/>
      <c r="E641"/>
    </row>
    <row r="642" spans="1:5" x14ac:dyDescent="0.25">
      <c r="A642"/>
      <c r="B642"/>
      <c r="C642"/>
      <c r="D642"/>
      <c r="E642"/>
    </row>
    <row r="643" spans="1:5" x14ac:dyDescent="0.25">
      <c r="A643"/>
      <c r="B643"/>
      <c r="C643"/>
      <c r="D643"/>
      <c r="E643"/>
    </row>
    <row r="644" spans="1:5" x14ac:dyDescent="0.25">
      <c r="A644"/>
      <c r="B644"/>
      <c r="C644"/>
      <c r="D644"/>
      <c r="E644"/>
    </row>
    <row r="645" spans="1:5" x14ac:dyDescent="0.25">
      <c r="A645"/>
      <c r="B645"/>
      <c r="C645"/>
      <c r="D645"/>
      <c r="E645"/>
    </row>
    <row r="646" spans="1:5" x14ac:dyDescent="0.25">
      <c r="A646"/>
      <c r="B646"/>
      <c r="C646"/>
      <c r="D646"/>
      <c r="E646"/>
    </row>
    <row r="647" spans="1:5" x14ac:dyDescent="0.25">
      <c r="A647"/>
      <c r="B647"/>
      <c r="C647"/>
      <c r="D647"/>
      <c r="E647"/>
    </row>
    <row r="648" spans="1:5" x14ac:dyDescent="0.25">
      <c r="A648"/>
      <c r="B648"/>
      <c r="C648"/>
      <c r="D648"/>
      <c r="E648"/>
    </row>
    <row r="649" spans="1:5" x14ac:dyDescent="0.25">
      <c r="A649"/>
      <c r="B649"/>
      <c r="C649"/>
      <c r="D649"/>
      <c r="E649"/>
    </row>
    <row r="650" spans="1:5" x14ac:dyDescent="0.25">
      <c r="A650"/>
      <c r="B650"/>
      <c r="C650"/>
      <c r="D650"/>
      <c r="E650"/>
    </row>
    <row r="651" spans="1:5" x14ac:dyDescent="0.25">
      <c r="A651"/>
      <c r="B651"/>
      <c r="C651"/>
      <c r="D651"/>
      <c r="E651"/>
    </row>
    <row r="652" spans="1:5" x14ac:dyDescent="0.25">
      <c r="A652"/>
      <c r="B652"/>
      <c r="C652"/>
      <c r="D652"/>
      <c r="E652"/>
    </row>
    <row r="653" spans="1:5" x14ac:dyDescent="0.25">
      <c r="A653"/>
      <c r="B653"/>
      <c r="C653"/>
      <c r="D653"/>
      <c r="E653"/>
    </row>
    <row r="654" spans="1:5" x14ac:dyDescent="0.25">
      <c r="A654"/>
      <c r="B654"/>
      <c r="C654"/>
      <c r="D654"/>
      <c r="E654"/>
    </row>
    <row r="655" spans="1:5" x14ac:dyDescent="0.25">
      <c r="A655"/>
      <c r="B655"/>
      <c r="C655"/>
      <c r="D655"/>
      <c r="E655"/>
    </row>
    <row r="656" spans="1:5" x14ac:dyDescent="0.25">
      <c r="A656"/>
      <c r="B656"/>
      <c r="C656"/>
      <c r="D656"/>
      <c r="E656"/>
    </row>
    <row r="657" spans="1:5" x14ac:dyDescent="0.25">
      <c r="A657"/>
      <c r="B657"/>
      <c r="C657"/>
      <c r="D657"/>
      <c r="E657"/>
    </row>
    <row r="658" spans="1:5" x14ac:dyDescent="0.25">
      <c r="A658"/>
      <c r="B658"/>
      <c r="C658"/>
      <c r="D658"/>
      <c r="E658"/>
    </row>
    <row r="659" spans="1:5" x14ac:dyDescent="0.25">
      <c r="A659"/>
      <c r="B659"/>
      <c r="C659"/>
      <c r="D659"/>
      <c r="E659"/>
    </row>
    <row r="660" spans="1:5" x14ac:dyDescent="0.25">
      <c r="A660"/>
      <c r="B660"/>
      <c r="C660"/>
      <c r="D660"/>
      <c r="E660"/>
    </row>
    <row r="661" spans="1:5" x14ac:dyDescent="0.25">
      <c r="A661"/>
      <c r="B661"/>
      <c r="C661"/>
      <c r="D661"/>
      <c r="E661"/>
    </row>
    <row r="662" spans="1:5" x14ac:dyDescent="0.25">
      <c r="A662"/>
      <c r="B662"/>
      <c r="C662"/>
      <c r="D662"/>
      <c r="E662"/>
    </row>
    <row r="663" spans="1:5" x14ac:dyDescent="0.25">
      <c r="A663"/>
      <c r="B663"/>
      <c r="C663"/>
      <c r="D663"/>
      <c r="E663"/>
    </row>
    <row r="664" spans="1:5" x14ac:dyDescent="0.25">
      <c r="A664"/>
      <c r="B664"/>
      <c r="C664"/>
      <c r="D664"/>
      <c r="E664"/>
    </row>
    <row r="665" spans="1:5" x14ac:dyDescent="0.25">
      <c r="A665"/>
      <c r="B665"/>
      <c r="C665"/>
      <c r="D665"/>
      <c r="E665"/>
    </row>
    <row r="666" spans="1:5" x14ac:dyDescent="0.25">
      <c r="A666"/>
      <c r="B666"/>
      <c r="C666"/>
      <c r="D666"/>
      <c r="E666"/>
    </row>
    <row r="667" spans="1:5" x14ac:dyDescent="0.25">
      <c r="A667"/>
      <c r="B667"/>
      <c r="C667"/>
      <c r="D667"/>
      <c r="E667"/>
    </row>
    <row r="668" spans="1:5" x14ac:dyDescent="0.25">
      <c r="A668"/>
      <c r="B668"/>
      <c r="C668"/>
      <c r="D668"/>
      <c r="E668"/>
    </row>
    <row r="669" spans="1:5" x14ac:dyDescent="0.25">
      <c r="A669"/>
      <c r="B669"/>
      <c r="C669"/>
      <c r="D669"/>
      <c r="E669"/>
    </row>
    <row r="670" spans="1:5" x14ac:dyDescent="0.25">
      <c r="A670"/>
      <c r="B670"/>
      <c r="C670"/>
      <c r="D670"/>
      <c r="E670"/>
    </row>
    <row r="671" spans="1:5" x14ac:dyDescent="0.25">
      <c r="A671"/>
      <c r="B671"/>
      <c r="C671"/>
      <c r="D671"/>
      <c r="E671"/>
    </row>
    <row r="672" spans="1:5" x14ac:dyDescent="0.25">
      <c r="A672"/>
      <c r="B672"/>
      <c r="C672"/>
      <c r="D672"/>
      <c r="E672"/>
    </row>
    <row r="673" spans="1:5" x14ac:dyDescent="0.25">
      <c r="A673"/>
      <c r="B673"/>
      <c r="C673"/>
      <c r="D673"/>
      <c r="E673"/>
    </row>
    <row r="674" spans="1:5" x14ac:dyDescent="0.25">
      <c r="A674"/>
      <c r="B674"/>
      <c r="C674"/>
      <c r="D674"/>
      <c r="E674"/>
    </row>
    <row r="675" spans="1:5" x14ac:dyDescent="0.25">
      <c r="A675"/>
      <c r="B675"/>
      <c r="C675"/>
      <c r="D675"/>
      <c r="E675"/>
    </row>
    <row r="676" spans="1:5" x14ac:dyDescent="0.25">
      <c r="A676"/>
      <c r="B676"/>
      <c r="C676"/>
      <c r="D676"/>
      <c r="E676"/>
    </row>
    <row r="677" spans="1:5" x14ac:dyDescent="0.25">
      <c r="A677"/>
      <c r="B677"/>
      <c r="C677"/>
      <c r="D677"/>
      <c r="E677"/>
    </row>
    <row r="678" spans="1:5" x14ac:dyDescent="0.25">
      <c r="A678"/>
      <c r="B678"/>
      <c r="C678"/>
      <c r="D678"/>
      <c r="E678"/>
    </row>
    <row r="679" spans="1:5" x14ac:dyDescent="0.25">
      <c r="A679"/>
      <c r="B679"/>
      <c r="C679"/>
      <c r="D679"/>
      <c r="E679"/>
    </row>
    <row r="680" spans="1:5" x14ac:dyDescent="0.25">
      <c r="A680"/>
      <c r="B680"/>
      <c r="C680"/>
      <c r="D680"/>
      <c r="E680"/>
    </row>
    <row r="681" spans="1:5" x14ac:dyDescent="0.25">
      <c r="A681"/>
      <c r="B681"/>
      <c r="C681"/>
      <c r="D681"/>
      <c r="E681"/>
    </row>
    <row r="682" spans="1:5" x14ac:dyDescent="0.25">
      <c r="A682"/>
      <c r="B682"/>
      <c r="C682"/>
      <c r="D682"/>
      <c r="E682"/>
    </row>
    <row r="683" spans="1:5" x14ac:dyDescent="0.25">
      <c r="A683"/>
      <c r="B683"/>
      <c r="C683"/>
      <c r="D683"/>
      <c r="E683"/>
    </row>
    <row r="684" spans="1:5" x14ac:dyDescent="0.25">
      <c r="A684"/>
      <c r="B684"/>
      <c r="C684"/>
      <c r="D684"/>
      <c r="E684"/>
    </row>
    <row r="685" spans="1:5" x14ac:dyDescent="0.25">
      <c r="A685"/>
      <c r="B685"/>
      <c r="C685"/>
      <c r="D685"/>
      <c r="E685"/>
    </row>
    <row r="686" spans="1:5" x14ac:dyDescent="0.25">
      <c r="A686"/>
      <c r="B686"/>
      <c r="C686"/>
      <c r="D686"/>
      <c r="E686"/>
    </row>
    <row r="687" spans="1:5" x14ac:dyDescent="0.25">
      <c r="A687"/>
      <c r="B687"/>
      <c r="C687"/>
      <c r="D687"/>
      <c r="E687"/>
    </row>
    <row r="688" spans="1:5" x14ac:dyDescent="0.25">
      <c r="A688"/>
      <c r="B688"/>
      <c r="C688"/>
      <c r="D688"/>
      <c r="E688"/>
    </row>
    <row r="689" spans="1:5" x14ac:dyDescent="0.25">
      <c r="A689"/>
      <c r="B689"/>
      <c r="C689"/>
      <c r="D689"/>
      <c r="E689"/>
    </row>
    <row r="690" spans="1:5" x14ac:dyDescent="0.25">
      <c r="A690"/>
      <c r="B690"/>
      <c r="C690"/>
      <c r="D690"/>
      <c r="E690"/>
    </row>
    <row r="691" spans="1:5" x14ac:dyDescent="0.25">
      <c r="A691"/>
      <c r="B691"/>
      <c r="C691"/>
      <c r="D691"/>
      <c r="E691"/>
    </row>
    <row r="692" spans="1:5" x14ac:dyDescent="0.25">
      <c r="A692"/>
      <c r="B692"/>
      <c r="C692"/>
      <c r="D692"/>
      <c r="E692"/>
    </row>
    <row r="693" spans="1:5" x14ac:dyDescent="0.25">
      <c r="A693"/>
      <c r="B693"/>
      <c r="C693"/>
      <c r="D693"/>
      <c r="E693"/>
    </row>
    <row r="694" spans="1:5" x14ac:dyDescent="0.25">
      <c r="A694"/>
      <c r="B694"/>
      <c r="C694"/>
      <c r="D694"/>
      <c r="E694"/>
    </row>
    <row r="695" spans="1:5" x14ac:dyDescent="0.25">
      <c r="A695"/>
      <c r="B695"/>
      <c r="C695"/>
      <c r="D695"/>
      <c r="E695"/>
    </row>
    <row r="696" spans="1:5" x14ac:dyDescent="0.25">
      <c r="A696"/>
      <c r="B696"/>
      <c r="C696"/>
      <c r="D696"/>
      <c r="E696"/>
    </row>
    <row r="697" spans="1:5" x14ac:dyDescent="0.25">
      <c r="A697"/>
      <c r="B697"/>
      <c r="C697"/>
      <c r="D697"/>
      <c r="E697"/>
    </row>
    <row r="698" spans="1:5" x14ac:dyDescent="0.25">
      <c r="A698"/>
      <c r="B698"/>
      <c r="C698"/>
      <c r="D698"/>
      <c r="E698"/>
    </row>
    <row r="699" spans="1:5" x14ac:dyDescent="0.25">
      <c r="A699"/>
      <c r="B699"/>
      <c r="C699"/>
      <c r="D699"/>
      <c r="E699"/>
    </row>
    <row r="700" spans="1:5" x14ac:dyDescent="0.25">
      <c r="A700"/>
      <c r="B700"/>
      <c r="C700"/>
      <c r="D700"/>
      <c r="E700"/>
    </row>
    <row r="701" spans="1:5" x14ac:dyDescent="0.25">
      <c r="A701"/>
      <c r="B701"/>
      <c r="C701"/>
      <c r="D701"/>
      <c r="E701"/>
    </row>
    <row r="702" spans="1:5" x14ac:dyDescent="0.25">
      <c r="A702"/>
      <c r="B702"/>
      <c r="C702"/>
      <c r="D702"/>
      <c r="E702"/>
    </row>
    <row r="703" spans="1:5" x14ac:dyDescent="0.25">
      <c r="A703"/>
      <c r="B703"/>
      <c r="C703"/>
      <c r="D703"/>
      <c r="E703"/>
    </row>
    <row r="704" spans="1:5" x14ac:dyDescent="0.25">
      <c r="A704"/>
      <c r="B704"/>
      <c r="C704"/>
      <c r="D704"/>
      <c r="E704"/>
    </row>
    <row r="705" spans="1:5" x14ac:dyDescent="0.25">
      <c r="A705"/>
      <c r="B705"/>
      <c r="C705"/>
      <c r="D705"/>
      <c r="E705"/>
    </row>
    <row r="706" spans="1:5" x14ac:dyDescent="0.25">
      <c r="A706"/>
      <c r="B706"/>
      <c r="C706"/>
      <c r="D706"/>
      <c r="E706"/>
    </row>
    <row r="707" spans="1:5" x14ac:dyDescent="0.25">
      <c r="A707"/>
      <c r="B707"/>
      <c r="C707"/>
      <c r="D707"/>
      <c r="E707"/>
    </row>
    <row r="708" spans="1:5" x14ac:dyDescent="0.25">
      <c r="A708"/>
      <c r="B708"/>
      <c r="C708"/>
      <c r="D708"/>
      <c r="E708"/>
    </row>
    <row r="709" spans="1:5" x14ac:dyDescent="0.25">
      <c r="A709"/>
      <c r="B709"/>
      <c r="C709"/>
      <c r="D709"/>
      <c r="E709"/>
    </row>
    <row r="710" spans="1:5" x14ac:dyDescent="0.25">
      <c r="A710"/>
      <c r="B710"/>
      <c r="C710"/>
      <c r="D710"/>
      <c r="E710"/>
    </row>
    <row r="711" spans="1:5" x14ac:dyDescent="0.25">
      <c r="A711"/>
      <c r="B711"/>
      <c r="C711"/>
      <c r="D711"/>
      <c r="E711"/>
    </row>
    <row r="712" spans="1:5" x14ac:dyDescent="0.25">
      <c r="A712"/>
      <c r="B712"/>
      <c r="C712"/>
      <c r="D712"/>
      <c r="E712"/>
    </row>
    <row r="713" spans="1:5" x14ac:dyDescent="0.25">
      <c r="A713"/>
      <c r="B713"/>
      <c r="C713"/>
      <c r="D713"/>
      <c r="E713"/>
    </row>
    <row r="714" spans="1:5" x14ac:dyDescent="0.25">
      <c r="A714"/>
      <c r="B714"/>
      <c r="C714"/>
      <c r="D714"/>
      <c r="E714"/>
    </row>
    <row r="715" spans="1:5" x14ac:dyDescent="0.25">
      <c r="A715"/>
      <c r="B715"/>
      <c r="C715"/>
      <c r="D715"/>
      <c r="E715"/>
    </row>
    <row r="716" spans="1:5" x14ac:dyDescent="0.25">
      <c r="A716"/>
      <c r="B716"/>
      <c r="C716"/>
      <c r="D716"/>
      <c r="E716"/>
    </row>
    <row r="717" spans="1:5" x14ac:dyDescent="0.25">
      <c r="A717"/>
      <c r="B717"/>
      <c r="C717"/>
      <c r="D717"/>
      <c r="E717"/>
    </row>
    <row r="718" spans="1:5" x14ac:dyDescent="0.25">
      <c r="A718"/>
      <c r="B718"/>
      <c r="C718"/>
      <c r="D718"/>
      <c r="E718"/>
    </row>
    <row r="719" spans="1:5" x14ac:dyDescent="0.25">
      <c r="A719"/>
      <c r="B719"/>
      <c r="C719"/>
      <c r="D719"/>
      <c r="E719"/>
    </row>
    <row r="720" spans="1:5" x14ac:dyDescent="0.25">
      <c r="A720"/>
      <c r="B720"/>
      <c r="C720"/>
      <c r="D720"/>
      <c r="E720"/>
    </row>
    <row r="721" spans="1:5" x14ac:dyDescent="0.25">
      <c r="A721"/>
      <c r="B721"/>
      <c r="C721"/>
      <c r="D721"/>
      <c r="E721"/>
    </row>
    <row r="722" spans="1:5" x14ac:dyDescent="0.25">
      <c r="A722"/>
      <c r="B722"/>
      <c r="C722"/>
      <c r="D722"/>
      <c r="E722"/>
    </row>
    <row r="723" spans="1:5" x14ac:dyDescent="0.25">
      <c r="A723"/>
      <c r="B723"/>
      <c r="C723"/>
      <c r="D723"/>
      <c r="E723"/>
    </row>
    <row r="724" spans="1:5" x14ac:dyDescent="0.25">
      <c r="A724"/>
      <c r="B724"/>
      <c r="C724"/>
      <c r="D724"/>
      <c r="E724"/>
    </row>
    <row r="725" spans="1:5" x14ac:dyDescent="0.25">
      <c r="A725"/>
      <c r="B725"/>
      <c r="C725"/>
      <c r="D725"/>
      <c r="E725"/>
    </row>
    <row r="726" spans="1:5" x14ac:dyDescent="0.25">
      <c r="A726"/>
      <c r="B726"/>
      <c r="C726"/>
      <c r="D726"/>
      <c r="E726"/>
    </row>
    <row r="727" spans="1:5" x14ac:dyDescent="0.25">
      <c r="A727"/>
      <c r="B727"/>
      <c r="C727"/>
      <c r="D727"/>
      <c r="E727"/>
    </row>
    <row r="728" spans="1:5" x14ac:dyDescent="0.25">
      <c r="A728"/>
      <c r="B728"/>
      <c r="C728"/>
      <c r="D728"/>
      <c r="E728"/>
    </row>
    <row r="729" spans="1:5" x14ac:dyDescent="0.25">
      <c r="A729"/>
      <c r="B729"/>
      <c r="C729"/>
      <c r="D729"/>
      <c r="E729"/>
    </row>
    <row r="730" spans="1:5" x14ac:dyDescent="0.25">
      <c r="A730"/>
      <c r="B730"/>
      <c r="C730"/>
      <c r="D730"/>
      <c r="E730"/>
    </row>
    <row r="731" spans="1:5" x14ac:dyDescent="0.25">
      <c r="A731"/>
      <c r="B731"/>
      <c r="C731"/>
      <c r="D731"/>
      <c r="E731"/>
    </row>
    <row r="732" spans="1:5" x14ac:dyDescent="0.25">
      <c r="A732"/>
      <c r="B732"/>
      <c r="C732"/>
      <c r="D732"/>
      <c r="E732"/>
    </row>
    <row r="733" spans="1:5" x14ac:dyDescent="0.25">
      <c r="A733"/>
      <c r="B733"/>
      <c r="C733"/>
      <c r="D733"/>
      <c r="E733"/>
    </row>
    <row r="734" spans="1:5" x14ac:dyDescent="0.25">
      <c r="A734"/>
      <c r="B734"/>
      <c r="C734"/>
      <c r="D734"/>
      <c r="E734"/>
    </row>
    <row r="735" spans="1:5" x14ac:dyDescent="0.25">
      <c r="A735"/>
      <c r="B735"/>
      <c r="C735"/>
      <c r="D735"/>
      <c r="E735"/>
    </row>
    <row r="736" spans="1:5" x14ac:dyDescent="0.25">
      <c r="A736"/>
      <c r="B736"/>
      <c r="C736"/>
      <c r="D736"/>
      <c r="E736"/>
    </row>
    <row r="737" spans="1:5" x14ac:dyDescent="0.25">
      <c r="A737"/>
      <c r="B737"/>
      <c r="C737"/>
      <c r="D737"/>
      <c r="E737"/>
    </row>
    <row r="738" spans="1:5" x14ac:dyDescent="0.25">
      <c r="A738"/>
      <c r="B738"/>
      <c r="C738"/>
      <c r="D738"/>
      <c r="E738"/>
    </row>
    <row r="739" spans="1:5" x14ac:dyDescent="0.25">
      <c r="A739"/>
      <c r="B739"/>
      <c r="C739"/>
      <c r="D739"/>
      <c r="E739"/>
    </row>
    <row r="740" spans="1:5" x14ac:dyDescent="0.25">
      <c r="A740"/>
      <c r="B740"/>
      <c r="C740"/>
      <c r="D740"/>
      <c r="E740"/>
    </row>
    <row r="741" spans="1:5" x14ac:dyDescent="0.25">
      <c r="A741"/>
      <c r="B741"/>
      <c r="C741"/>
      <c r="D741"/>
      <c r="E741"/>
    </row>
    <row r="742" spans="1:5" x14ac:dyDescent="0.25">
      <c r="A742"/>
      <c r="B742"/>
      <c r="C742"/>
      <c r="D742"/>
      <c r="E742"/>
    </row>
    <row r="743" spans="1:5" x14ac:dyDescent="0.25">
      <c r="A743"/>
      <c r="B743"/>
      <c r="C743"/>
      <c r="D743"/>
      <c r="E743"/>
    </row>
    <row r="744" spans="1:5" x14ac:dyDescent="0.25">
      <c r="A744"/>
      <c r="B744"/>
      <c r="C744"/>
      <c r="D744"/>
      <c r="E744"/>
    </row>
    <row r="745" spans="1:5" x14ac:dyDescent="0.25">
      <c r="A745"/>
      <c r="B745"/>
      <c r="C745"/>
      <c r="D745"/>
      <c r="E745"/>
    </row>
    <row r="746" spans="1:5" x14ac:dyDescent="0.25">
      <c r="A746"/>
      <c r="B746"/>
      <c r="C746"/>
      <c r="D746"/>
      <c r="E746"/>
    </row>
    <row r="747" spans="1:5" x14ac:dyDescent="0.25">
      <c r="A747"/>
      <c r="B747"/>
      <c r="C747"/>
      <c r="D747"/>
      <c r="E747"/>
    </row>
    <row r="748" spans="1:5" x14ac:dyDescent="0.25">
      <c r="A748"/>
      <c r="B748"/>
      <c r="C748"/>
      <c r="D748"/>
      <c r="E748"/>
    </row>
    <row r="749" spans="1:5" x14ac:dyDescent="0.25">
      <c r="A749"/>
      <c r="B749"/>
      <c r="C749"/>
      <c r="D749"/>
      <c r="E749"/>
    </row>
    <row r="750" spans="1:5" x14ac:dyDescent="0.25">
      <c r="A750"/>
      <c r="B750"/>
      <c r="C750"/>
      <c r="D750"/>
      <c r="E750"/>
    </row>
    <row r="751" spans="1:5" x14ac:dyDescent="0.25">
      <c r="A751"/>
      <c r="B751"/>
      <c r="C751"/>
      <c r="D751"/>
      <c r="E751"/>
    </row>
    <row r="752" spans="1:5" x14ac:dyDescent="0.25">
      <c r="A752"/>
      <c r="B752"/>
      <c r="C752"/>
      <c r="D752"/>
      <c r="E752"/>
    </row>
    <row r="753" spans="1:5" x14ac:dyDescent="0.25">
      <c r="A753"/>
      <c r="B753"/>
      <c r="C753"/>
      <c r="D753"/>
      <c r="E753"/>
    </row>
    <row r="754" spans="1:5" x14ac:dyDescent="0.25">
      <c r="A754"/>
      <c r="B754"/>
      <c r="C754"/>
      <c r="D754"/>
      <c r="E754"/>
    </row>
    <row r="755" spans="1:5" x14ac:dyDescent="0.25">
      <c r="A755"/>
      <c r="B755"/>
      <c r="C755"/>
      <c r="D755"/>
      <c r="E755"/>
    </row>
    <row r="756" spans="1:5" x14ac:dyDescent="0.25">
      <c r="A756"/>
      <c r="B756"/>
      <c r="C756"/>
      <c r="D756"/>
      <c r="E756"/>
    </row>
    <row r="757" spans="1:5" x14ac:dyDescent="0.25">
      <c r="A757"/>
      <c r="B757"/>
      <c r="C757"/>
      <c r="D757"/>
      <c r="E757"/>
    </row>
    <row r="758" spans="1:5" x14ac:dyDescent="0.25">
      <c r="A758"/>
      <c r="B758"/>
      <c r="C758"/>
      <c r="D758"/>
      <c r="E758"/>
    </row>
    <row r="759" spans="1:5" x14ac:dyDescent="0.25">
      <c r="A759"/>
      <c r="B759"/>
      <c r="C759"/>
      <c r="D759"/>
      <c r="E759"/>
    </row>
    <row r="760" spans="1:5" x14ac:dyDescent="0.25">
      <c r="A760"/>
      <c r="B760"/>
      <c r="C760"/>
      <c r="D760"/>
      <c r="E760"/>
    </row>
    <row r="761" spans="1:5" x14ac:dyDescent="0.25">
      <c r="A761"/>
      <c r="B761"/>
      <c r="C761"/>
      <c r="D761"/>
      <c r="E761"/>
    </row>
    <row r="762" spans="1:5" x14ac:dyDescent="0.25">
      <c r="A762"/>
      <c r="B762"/>
      <c r="C762"/>
      <c r="D762"/>
      <c r="E762"/>
    </row>
    <row r="763" spans="1:5" x14ac:dyDescent="0.25">
      <c r="A763"/>
      <c r="B763"/>
      <c r="C763"/>
      <c r="D763"/>
      <c r="E763"/>
    </row>
    <row r="764" spans="1:5" x14ac:dyDescent="0.25">
      <c r="A764"/>
      <c r="B764"/>
      <c r="C764"/>
      <c r="D764"/>
      <c r="E764"/>
    </row>
    <row r="765" spans="1:5" x14ac:dyDescent="0.25">
      <c r="A765"/>
      <c r="B765"/>
      <c r="C765"/>
      <c r="D765"/>
      <c r="E765"/>
    </row>
    <row r="766" spans="1:5" x14ac:dyDescent="0.25">
      <c r="A766"/>
      <c r="B766"/>
      <c r="C766"/>
      <c r="D766"/>
      <c r="E766"/>
    </row>
    <row r="767" spans="1:5" x14ac:dyDescent="0.25">
      <c r="A767"/>
      <c r="B767"/>
      <c r="C767"/>
      <c r="D767"/>
      <c r="E767"/>
    </row>
    <row r="768" spans="1:5" x14ac:dyDescent="0.25">
      <c r="A768"/>
      <c r="B768"/>
      <c r="C768"/>
      <c r="D768"/>
      <c r="E768"/>
    </row>
    <row r="769" spans="1:5" x14ac:dyDescent="0.25">
      <c r="A769"/>
      <c r="B769"/>
      <c r="C769"/>
      <c r="D769"/>
      <c r="E769"/>
    </row>
    <row r="770" spans="1:5" x14ac:dyDescent="0.25">
      <c r="A770"/>
      <c r="B770"/>
      <c r="C770"/>
      <c r="D770"/>
      <c r="E770"/>
    </row>
    <row r="771" spans="1:5" x14ac:dyDescent="0.25">
      <c r="A771"/>
      <c r="B771"/>
      <c r="C771"/>
      <c r="D771"/>
      <c r="E771"/>
    </row>
    <row r="772" spans="1:5" x14ac:dyDescent="0.25">
      <c r="A772"/>
      <c r="B772"/>
      <c r="C772"/>
      <c r="D772"/>
      <c r="E772"/>
    </row>
    <row r="773" spans="1:5" x14ac:dyDescent="0.25">
      <c r="A773"/>
      <c r="B773"/>
      <c r="C773"/>
      <c r="D773"/>
      <c r="E773"/>
    </row>
    <row r="774" spans="1:5" x14ac:dyDescent="0.25">
      <c r="A774"/>
      <c r="B774"/>
      <c r="C774"/>
      <c r="D774"/>
      <c r="E774"/>
    </row>
    <row r="775" spans="1:5" x14ac:dyDescent="0.25">
      <c r="A775"/>
      <c r="B775"/>
      <c r="C775"/>
      <c r="D775"/>
      <c r="E775"/>
    </row>
    <row r="776" spans="1:5" x14ac:dyDescent="0.25">
      <c r="A776"/>
      <c r="B776"/>
      <c r="C776"/>
      <c r="D776"/>
      <c r="E776"/>
    </row>
    <row r="777" spans="1:5" x14ac:dyDescent="0.25">
      <c r="A777"/>
      <c r="B777"/>
      <c r="C777"/>
      <c r="D777"/>
      <c r="E777"/>
    </row>
    <row r="778" spans="1:5" x14ac:dyDescent="0.25">
      <c r="A778"/>
      <c r="B778"/>
      <c r="C778"/>
      <c r="D778"/>
      <c r="E778"/>
    </row>
    <row r="779" spans="1:5" x14ac:dyDescent="0.25">
      <c r="A779"/>
      <c r="B779"/>
      <c r="C779"/>
      <c r="D779"/>
      <c r="E779"/>
    </row>
    <row r="780" spans="1:5" x14ac:dyDescent="0.25">
      <c r="A780"/>
      <c r="B780"/>
      <c r="C780"/>
      <c r="D780"/>
      <c r="E780"/>
    </row>
    <row r="781" spans="1:5" x14ac:dyDescent="0.25">
      <c r="A781"/>
      <c r="B781"/>
      <c r="C781"/>
      <c r="D781"/>
      <c r="E781"/>
    </row>
    <row r="782" spans="1:5" x14ac:dyDescent="0.25">
      <c r="A782"/>
      <c r="B782"/>
      <c r="C782"/>
      <c r="D782"/>
      <c r="E782"/>
    </row>
    <row r="783" spans="1:5" x14ac:dyDescent="0.25">
      <c r="A783"/>
      <c r="B783"/>
      <c r="C783"/>
      <c r="D783"/>
      <c r="E783"/>
    </row>
    <row r="784" spans="1:5" x14ac:dyDescent="0.25">
      <c r="A784"/>
      <c r="B784"/>
      <c r="C784"/>
      <c r="D784"/>
      <c r="E784"/>
    </row>
    <row r="785" spans="1:5" x14ac:dyDescent="0.25">
      <c r="A785"/>
      <c r="B785"/>
      <c r="C785"/>
      <c r="D785"/>
      <c r="E785"/>
    </row>
    <row r="786" spans="1:5" x14ac:dyDescent="0.25">
      <c r="A786"/>
      <c r="B786"/>
      <c r="C786"/>
      <c r="D786"/>
      <c r="E786"/>
    </row>
    <row r="787" spans="1:5" x14ac:dyDescent="0.25">
      <c r="A787"/>
      <c r="B787"/>
      <c r="C787"/>
      <c r="D787"/>
      <c r="E787"/>
    </row>
    <row r="788" spans="1:5" x14ac:dyDescent="0.25">
      <c r="A788"/>
      <c r="B788"/>
      <c r="C788"/>
      <c r="D788"/>
      <c r="E788"/>
    </row>
    <row r="789" spans="1:5" x14ac:dyDescent="0.25">
      <c r="A789"/>
      <c r="B789"/>
      <c r="C789"/>
      <c r="D789"/>
      <c r="E789"/>
    </row>
    <row r="790" spans="1:5" x14ac:dyDescent="0.25">
      <c r="A790"/>
      <c r="B790"/>
      <c r="C790"/>
      <c r="D790"/>
      <c r="E790"/>
    </row>
    <row r="791" spans="1:5" x14ac:dyDescent="0.25">
      <c r="A791"/>
      <c r="B791"/>
      <c r="C791"/>
      <c r="D791"/>
      <c r="E791"/>
    </row>
    <row r="792" spans="1:5" x14ac:dyDescent="0.25">
      <c r="A792"/>
      <c r="B792"/>
      <c r="C792"/>
      <c r="D792"/>
      <c r="E792"/>
    </row>
    <row r="793" spans="1:5" x14ac:dyDescent="0.25">
      <c r="A793"/>
      <c r="B793"/>
      <c r="C793"/>
      <c r="D793"/>
      <c r="E793"/>
    </row>
    <row r="794" spans="1:5" x14ac:dyDescent="0.25">
      <c r="A794"/>
      <c r="B794"/>
      <c r="C794"/>
      <c r="D794"/>
      <c r="E794"/>
    </row>
    <row r="795" spans="1:5" x14ac:dyDescent="0.25">
      <c r="A795"/>
      <c r="B795"/>
      <c r="C795"/>
      <c r="D795"/>
      <c r="E795"/>
    </row>
    <row r="796" spans="1:5" x14ac:dyDescent="0.25">
      <c r="A796"/>
      <c r="B796"/>
      <c r="C796"/>
      <c r="D796"/>
      <c r="E796"/>
    </row>
    <row r="797" spans="1:5" x14ac:dyDescent="0.25">
      <c r="A797"/>
      <c r="B797"/>
      <c r="C797"/>
      <c r="D797"/>
      <c r="E797"/>
    </row>
    <row r="798" spans="1:5" x14ac:dyDescent="0.25">
      <c r="A798"/>
      <c r="B798"/>
      <c r="C798"/>
      <c r="D798"/>
      <c r="E798"/>
    </row>
    <row r="799" spans="1:5" x14ac:dyDescent="0.25">
      <c r="A799"/>
      <c r="B799"/>
      <c r="C799"/>
      <c r="D799"/>
      <c r="E799"/>
    </row>
    <row r="800" spans="1:5" x14ac:dyDescent="0.25">
      <c r="A800"/>
      <c r="B800"/>
      <c r="C800"/>
      <c r="D800"/>
      <c r="E800"/>
    </row>
    <row r="801" spans="1:5" x14ac:dyDescent="0.25">
      <c r="A801"/>
      <c r="B801"/>
      <c r="C801"/>
      <c r="D801"/>
      <c r="E801"/>
    </row>
    <row r="802" spans="1:5" x14ac:dyDescent="0.25">
      <c r="A802"/>
      <c r="B802"/>
      <c r="C802"/>
      <c r="D802"/>
      <c r="E802"/>
    </row>
    <row r="803" spans="1:5" x14ac:dyDescent="0.25">
      <c r="A803"/>
      <c r="B803"/>
      <c r="C803"/>
      <c r="D803"/>
      <c r="E803"/>
    </row>
    <row r="804" spans="1:5" x14ac:dyDescent="0.25">
      <c r="A804"/>
      <c r="B804"/>
      <c r="C804"/>
      <c r="D804"/>
      <c r="E804"/>
    </row>
    <row r="805" spans="1:5" x14ac:dyDescent="0.25">
      <c r="A805"/>
      <c r="B805"/>
      <c r="C805"/>
      <c r="D805"/>
      <c r="E805"/>
    </row>
    <row r="806" spans="1:5" x14ac:dyDescent="0.25">
      <c r="A806"/>
      <c r="B806"/>
      <c r="C806"/>
      <c r="D806"/>
      <c r="E806"/>
    </row>
    <row r="807" spans="1:5" x14ac:dyDescent="0.25">
      <c r="A807"/>
      <c r="B807"/>
      <c r="C807"/>
      <c r="D807"/>
      <c r="E807"/>
    </row>
    <row r="808" spans="1:5" x14ac:dyDescent="0.25">
      <c r="A808"/>
      <c r="B808"/>
      <c r="C808"/>
      <c r="D808"/>
      <c r="E808"/>
    </row>
    <row r="809" spans="1:5" x14ac:dyDescent="0.25">
      <c r="A809"/>
      <c r="B809"/>
      <c r="C809"/>
      <c r="D809"/>
      <c r="E809"/>
    </row>
    <row r="810" spans="1:5" x14ac:dyDescent="0.25">
      <c r="A810"/>
      <c r="B810"/>
      <c r="C810"/>
      <c r="D810"/>
      <c r="E810"/>
    </row>
    <row r="811" spans="1:5" x14ac:dyDescent="0.25">
      <c r="A811"/>
      <c r="B811"/>
      <c r="C811"/>
      <c r="D811"/>
      <c r="E811"/>
    </row>
    <row r="812" spans="1:5" x14ac:dyDescent="0.25">
      <c r="A812"/>
      <c r="B812"/>
      <c r="C812"/>
      <c r="D812"/>
      <c r="E812"/>
    </row>
    <row r="813" spans="1:5" x14ac:dyDescent="0.25">
      <c r="A813"/>
      <c r="B813"/>
      <c r="C813"/>
      <c r="D813"/>
      <c r="E813"/>
    </row>
    <row r="814" spans="1:5" x14ac:dyDescent="0.25">
      <c r="A814"/>
      <c r="B814"/>
      <c r="C814"/>
      <c r="D814"/>
      <c r="E814"/>
    </row>
    <row r="815" spans="1:5" x14ac:dyDescent="0.25">
      <c r="A815"/>
      <c r="B815"/>
      <c r="C815"/>
      <c r="D815"/>
      <c r="E815"/>
    </row>
    <row r="816" spans="1:5" x14ac:dyDescent="0.25">
      <c r="A816"/>
      <c r="B816"/>
      <c r="C816"/>
      <c r="D816"/>
      <c r="E816"/>
    </row>
    <row r="817" spans="1:5" x14ac:dyDescent="0.25">
      <c r="A817"/>
      <c r="B817"/>
      <c r="C817"/>
      <c r="D817"/>
      <c r="E817"/>
    </row>
    <row r="818" spans="1:5" x14ac:dyDescent="0.25">
      <c r="A818"/>
      <c r="B818"/>
      <c r="C818"/>
      <c r="D818"/>
      <c r="E818"/>
    </row>
    <row r="819" spans="1:5" x14ac:dyDescent="0.25">
      <c r="A819"/>
      <c r="B819"/>
      <c r="C819"/>
      <c r="D819"/>
      <c r="E819"/>
    </row>
    <row r="820" spans="1:5" x14ac:dyDescent="0.25">
      <c r="A820"/>
      <c r="B820"/>
      <c r="C820"/>
      <c r="D820"/>
      <c r="E820"/>
    </row>
    <row r="821" spans="1:5" x14ac:dyDescent="0.25">
      <c r="A821"/>
      <c r="B821"/>
      <c r="C821"/>
      <c r="D821"/>
      <c r="E821"/>
    </row>
    <row r="822" spans="1:5" x14ac:dyDescent="0.25">
      <c r="A822"/>
      <c r="B822"/>
      <c r="C822"/>
      <c r="D822"/>
      <c r="E822"/>
    </row>
    <row r="823" spans="1:5" x14ac:dyDescent="0.25">
      <c r="A823"/>
      <c r="B823"/>
      <c r="C823"/>
      <c r="D823"/>
      <c r="E823"/>
    </row>
    <row r="824" spans="1:5" x14ac:dyDescent="0.25">
      <c r="A824"/>
      <c r="B824"/>
      <c r="C824"/>
      <c r="D824"/>
      <c r="E824"/>
    </row>
    <row r="825" spans="1:5" x14ac:dyDescent="0.25">
      <c r="A825"/>
      <c r="B825"/>
      <c r="C825"/>
      <c r="D825"/>
      <c r="E825"/>
    </row>
    <row r="826" spans="1:5" x14ac:dyDescent="0.25">
      <c r="A826"/>
      <c r="B826"/>
      <c r="C826"/>
      <c r="D826"/>
      <c r="E826"/>
    </row>
    <row r="827" spans="1:5" x14ac:dyDescent="0.25">
      <c r="A827"/>
      <c r="B827"/>
      <c r="C827"/>
      <c r="D827"/>
      <c r="E827"/>
    </row>
    <row r="828" spans="1:5" x14ac:dyDescent="0.25">
      <c r="A828"/>
      <c r="B828"/>
      <c r="C828"/>
      <c r="D828"/>
      <c r="E828"/>
    </row>
    <row r="829" spans="1:5" x14ac:dyDescent="0.25">
      <c r="A829"/>
      <c r="B829"/>
      <c r="C829"/>
      <c r="D829"/>
      <c r="E829"/>
    </row>
    <row r="830" spans="1:5" x14ac:dyDescent="0.25">
      <c r="A830"/>
      <c r="B830"/>
      <c r="C830"/>
      <c r="D830"/>
      <c r="E830"/>
    </row>
    <row r="831" spans="1:5" x14ac:dyDescent="0.25">
      <c r="A831"/>
      <c r="B831"/>
      <c r="C831"/>
      <c r="D831"/>
      <c r="E831"/>
    </row>
    <row r="832" spans="1:5" x14ac:dyDescent="0.25">
      <c r="A832"/>
      <c r="B832"/>
      <c r="C832"/>
      <c r="D832"/>
      <c r="E832"/>
    </row>
    <row r="833" spans="1:5" x14ac:dyDescent="0.25">
      <c r="A833"/>
      <c r="B833"/>
      <c r="C833"/>
      <c r="D833"/>
      <c r="E833"/>
    </row>
    <row r="834" spans="1:5" x14ac:dyDescent="0.25">
      <c r="A834"/>
      <c r="B834"/>
      <c r="C834"/>
      <c r="D834"/>
      <c r="E834"/>
    </row>
    <row r="835" spans="1:5" x14ac:dyDescent="0.25">
      <c r="A835"/>
      <c r="B835"/>
      <c r="C835"/>
      <c r="D835"/>
      <c r="E835"/>
    </row>
    <row r="836" spans="1:5" x14ac:dyDescent="0.25">
      <c r="A836"/>
      <c r="B836"/>
      <c r="C836"/>
      <c r="D836"/>
      <c r="E836"/>
    </row>
    <row r="837" spans="1:5" x14ac:dyDescent="0.25">
      <c r="A837"/>
      <c r="B837"/>
      <c r="C837"/>
      <c r="D837"/>
      <c r="E837"/>
    </row>
    <row r="838" spans="1:5" x14ac:dyDescent="0.25">
      <c r="A838"/>
      <c r="B838"/>
      <c r="C838"/>
      <c r="D838"/>
      <c r="E838"/>
    </row>
    <row r="839" spans="1:5" x14ac:dyDescent="0.25">
      <c r="A839"/>
      <c r="B839"/>
      <c r="C839"/>
      <c r="D839"/>
      <c r="E839"/>
    </row>
    <row r="840" spans="1:5" x14ac:dyDescent="0.25">
      <c r="A840"/>
      <c r="B840"/>
      <c r="C840"/>
      <c r="D840"/>
      <c r="E840"/>
    </row>
    <row r="841" spans="1:5" x14ac:dyDescent="0.25">
      <c r="A841"/>
      <c r="B841"/>
      <c r="C841"/>
      <c r="D841"/>
      <c r="E841"/>
    </row>
    <row r="842" spans="1:5" x14ac:dyDescent="0.25">
      <c r="A842"/>
      <c r="B842"/>
      <c r="C842"/>
      <c r="D842"/>
      <c r="E842"/>
    </row>
    <row r="843" spans="1:5" x14ac:dyDescent="0.25">
      <c r="A843"/>
      <c r="B843"/>
      <c r="C843"/>
      <c r="D843"/>
      <c r="E843"/>
    </row>
    <row r="844" spans="1:5" x14ac:dyDescent="0.25">
      <c r="A844"/>
      <c r="B844"/>
      <c r="C844"/>
      <c r="D844"/>
      <c r="E844"/>
    </row>
    <row r="845" spans="1:5" x14ac:dyDescent="0.25">
      <c r="A845"/>
      <c r="B845"/>
      <c r="C845"/>
      <c r="D845"/>
      <c r="E845"/>
    </row>
    <row r="846" spans="1:5" x14ac:dyDescent="0.25">
      <c r="A846"/>
      <c r="B846"/>
      <c r="C846"/>
      <c r="D846"/>
      <c r="E846"/>
    </row>
    <row r="847" spans="1:5" x14ac:dyDescent="0.25">
      <c r="A847"/>
      <c r="B847"/>
      <c r="C847"/>
      <c r="D847"/>
      <c r="E847"/>
    </row>
    <row r="848" spans="1:5" x14ac:dyDescent="0.25">
      <c r="A848"/>
      <c r="B848"/>
      <c r="C848"/>
      <c r="D848"/>
      <c r="E848"/>
    </row>
    <row r="849" spans="1:5" x14ac:dyDescent="0.25">
      <c r="A849"/>
      <c r="B849"/>
      <c r="C849"/>
      <c r="D849"/>
      <c r="E849"/>
    </row>
    <row r="850" spans="1:5" x14ac:dyDescent="0.25">
      <c r="A850"/>
      <c r="B850"/>
      <c r="C850"/>
      <c r="D850"/>
      <c r="E850"/>
    </row>
    <row r="851" spans="1:5" x14ac:dyDescent="0.25">
      <c r="A851"/>
      <c r="B851"/>
      <c r="C851"/>
      <c r="D851"/>
      <c r="E851"/>
    </row>
    <row r="852" spans="1:5" x14ac:dyDescent="0.25">
      <c r="A852"/>
      <c r="B852"/>
      <c r="C852"/>
      <c r="D852"/>
      <c r="E852"/>
    </row>
    <row r="853" spans="1:5" x14ac:dyDescent="0.25">
      <c r="A853"/>
      <c r="B853"/>
      <c r="C853"/>
      <c r="D853"/>
      <c r="E853"/>
    </row>
    <row r="854" spans="1:5" x14ac:dyDescent="0.25">
      <c r="A854"/>
      <c r="B854"/>
      <c r="C854"/>
      <c r="D854"/>
      <c r="E854"/>
    </row>
    <row r="855" spans="1:5" x14ac:dyDescent="0.25">
      <c r="A855"/>
      <c r="B855"/>
      <c r="C855"/>
      <c r="D855"/>
      <c r="E855"/>
    </row>
    <row r="856" spans="1:5" x14ac:dyDescent="0.25">
      <c r="A856"/>
      <c r="B856"/>
      <c r="C856"/>
      <c r="D856"/>
      <c r="E856"/>
    </row>
    <row r="857" spans="1:5" x14ac:dyDescent="0.25">
      <c r="A857"/>
      <c r="B857"/>
      <c r="C857"/>
      <c r="D857"/>
      <c r="E857"/>
    </row>
    <row r="858" spans="1:5" x14ac:dyDescent="0.25">
      <c r="A858"/>
      <c r="B858"/>
      <c r="C858"/>
      <c r="D858"/>
      <c r="E858"/>
    </row>
    <row r="859" spans="1:5" x14ac:dyDescent="0.25">
      <c r="A859"/>
      <c r="B859"/>
      <c r="C859"/>
      <c r="D859"/>
      <c r="E859"/>
    </row>
    <row r="860" spans="1:5" x14ac:dyDescent="0.25">
      <c r="A860"/>
      <c r="B860"/>
      <c r="C860"/>
      <c r="D860"/>
      <c r="E860"/>
    </row>
    <row r="861" spans="1:5" x14ac:dyDescent="0.25">
      <c r="A861"/>
      <c r="B861"/>
      <c r="C861"/>
      <c r="D861"/>
      <c r="E861"/>
    </row>
    <row r="862" spans="1:5" x14ac:dyDescent="0.25">
      <c r="A862"/>
      <c r="B862"/>
      <c r="C862"/>
      <c r="D862"/>
      <c r="E862"/>
    </row>
    <row r="863" spans="1:5" x14ac:dyDescent="0.25">
      <c r="A863"/>
      <c r="B863"/>
      <c r="C863"/>
      <c r="D863"/>
      <c r="E863"/>
    </row>
    <row r="864" spans="1:5" x14ac:dyDescent="0.25">
      <c r="A864"/>
      <c r="B864"/>
      <c r="C864"/>
      <c r="D864"/>
      <c r="E864"/>
    </row>
    <row r="865" spans="1:5" x14ac:dyDescent="0.25">
      <c r="A865"/>
      <c r="B865"/>
      <c r="C865"/>
      <c r="D865"/>
      <c r="E865"/>
    </row>
    <row r="866" spans="1:5" x14ac:dyDescent="0.25">
      <c r="A866"/>
      <c r="B866"/>
      <c r="C866"/>
      <c r="D866"/>
      <c r="E866"/>
    </row>
    <row r="867" spans="1:5" x14ac:dyDescent="0.25">
      <c r="A867"/>
      <c r="B867"/>
      <c r="C867"/>
      <c r="D867"/>
      <c r="E867"/>
    </row>
    <row r="868" spans="1:5" x14ac:dyDescent="0.25">
      <c r="A868"/>
      <c r="B868"/>
      <c r="C868"/>
      <c r="D868"/>
      <c r="E868"/>
    </row>
    <row r="869" spans="1:5" x14ac:dyDescent="0.25">
      <c r="A869"/>
      <c r="B869"/>
      <c r="C869"/>
      <c r="D869"/>
      <c r="E869"/>
    </row>
    <row r="870" spans="1:5" x14ac:dyDescent="0.25">
      <c r="A870"/>
      <c r="B870"/>
      <c r="C870"/>
      <c r="D870"/>
      <c r="E870"/>
    </row>
    <row r="871" spans="1:5" x14ac:dyDescent="0.25">
      <c r="A871"/>
      <c r="B871"/>
      <c r="C871"/>
      <c r="D871"/>
      <c r="E871"/>
    </row>
    <row r="872" spans="1:5" x14ac:dyDescent="0.25">
      <c r="A872"/>
      <c r="B872"/>
      <c r="C872"/>
      <c r="D872"/>
      <c r="E872"/>
    </row>
    <row r="873" spans="1:5" x14ac:dyDescent="0.25">
      <c r="A873"/>
      <c r="B873"/>
      <c r="C873"/>
      <c r="D873"/>
      <c r="E873"/>
    </row>
    <row r="874" spans="1:5" x14ac:dyDescent="0.25">
      <c r="A874"/>
      <c r="B874"/>
      <c r="C874"/>
      <c r="D874"/>
      <c r="E874"/>
    </row>
    <row r="875" spans="1:5" x14ac:dyDescent="0.25">
      <c r="A875"/>
      <c r="B875"/>
      <c r="C875"/>
      <c r="D875"/>
      <c r="E875"/>
    </row>
    <row r="876" spans="1:5" x14ac:dyDescent="0.25">
      <c r="A876"/>
      <c r="B876"/>
      <c r="C876"/>
      <c r="D876"/>
      <c r="E876"/>
    </row>
    <row r="877" spans="1:5" x14ac:dyDescent="0.25">
      <c r="A877"/>
      <c r="B877"/>
      <c r="C877"/>
      <c r="D877"/>
      <c r="E877"/>
    </row>
    <row r="878" spans="1:5" x14ac:dyDescent="0.25">
      <c r="A878"/>
      <c r="B878"/>
      <c r="C878"/>
      <c r="D878"/>
      <c r="E878"/>
    </row>
    <row r="879" spans="1:5" x14ac:dyDescent="0.25">
      <c r="A879"/>
      <c r="B879"/>
      <c r="C879"/>
      <c r="D879"/>
      <c r="E879"/>
    </row>
    <row r="880" spans="1:5" x14ac:dyDescent="0.25">
      <c r="A880"/>
      <c r="B880"/>
      <c r="C880"/>
      <c r="D880"/>
      <c r="E880"/>
    </row>
    <row r="881" spans="1:5" x14ac:dyDescent="0.25">
      <c r="A881"/>
      <c r="B881"/>
      <c r="C881"/>
      <c r="D881"/>
      <c r="E881"/>
    </row>
    <row r="882" spans="1:5" x14ac:dyDescent="0.25">
      <c r="A882"/>
      <c r="B882"/>
      <c r="C882"/>
      <c r="D882"/>
      <c r="E882"/>
    </row>
    <row r="883" spans="1:5" x14ac:dyDescent="0.25">
      <c r="A883"/>
      <c r="B883"/>
      <c r="C883"/>
      <c r="D883"/>
      <c r="E883"/>
    </row>
    <row r="884" spans="1:5" x14ac:dyDescent="0.25">
      <c r="A884"/>
      <c r="B884"/>
      <c r="C884"/>
      <c r="D884"/>
      <c r="E884"/>
    </row>
    <row r="885" spans="1:5" x14ac:dyDescent="0.25">
      <c r="A885"/>
      <c r="B885"/>
      <c r="C885"/>
      <c r="D885"/>
      <c r="E885"/>
    </row>
    <row r="886" spans="1:5" x14ac:dyDescent="0.25">
      <c r="A886"/>
      <c r="B886"/>
      <c r="C886"/>
      <c r="D886"/>
      <c r="E886"/>
    </row>
    <row r="887" spans="1:5" x14ac:dyDescent="0.25">
      <c r="A887"/>
      <c r="B887"/>
      <c r="C887"/>
      <c r="D887"/>
      <c r="E887"/>
    </row>
    <row r="888" spans="1:5" x14ac:dyDescent="0.25">
      <c r="A888"/>
      <c r="B888"/>
      <c r="C888"/>
      <c r="D888"/>
      <c r="E888"/>
    </row>
    <row r="889" spans="1:5" x14ac:dyDescent="0.25">
      <c r="A889"/>
      <c r="B889"/>
      <c r="C889"/>
      <c r="D889"/>
      <c r="E889"/>
    </row>
    <row r="890" spans="1:5" x14ac:dyDescent="0.25">
      <c r="A890"/>
      <c r="B890"/>
      <c r="C890"/>
      <c r="D890"/>
      <c r="E890"/>
    </row>
    <row r="891" spans="1:5" x14ac:dyDescent="0.25">
      <c r="A891"/>
      <c r="B891"/>
      <c r="C891"/>
      <c r="D891"/>
      <c r="E891"/>
    </row>
    <row r="892" spans="1:5" x14ac:dyDescent="0.25">
      <c r="A892"/>
      <c r="B892"/>
      <c r="C892"/>
      <c r="D892"/>
      <c r="E892"/>
    </row>
    <row r="893" spans="1:5" x14ac:dyDescent="0.25">
      <c r="A893"/>
      <c r="B893"/>
      <c r="C893"/>
      <c r="D893"/>
      <c r="E893"/>
    </row>
    <row r="894" spans="1:5" x14ac:dyDescent="0.25">
      <c r="A894"/>
      <c r="B894"/>
      <c r="C894"/>
      <c r="D894"/>
      <c r="E894"/>
    </row>
    <row r="895" spans="1:5" x14ac:dyDescent="0.25">
      <c r="A895"/>
      <c r="B895"/>
      <c r="C895"/>
      <c r="D895"/>
      <c r="E895"/>
    </row>
    <row r="896" spans="1:5" x14ac:dyDescent="0.25">
      <c r="A896"/>
      <c r="B896"/>
      <c r="C896"/>
      <c r="D896"/>
      <c r="E896"/>
    </row>
    <row r="897" spans="1:5" x14ac:dyDescent="0.25">
      <c r="A897"/>
      <c r="B897"/>
      <c r="C897"/>
      <c r="D897"/>
      <c r="E897"/>
    </row>
    <row r="898" spans="1:5" x14ac:dyDescent="0.25">
      <c r="A898"/>
      <c r="B898"/>
      <c r="C898"/>
      <c r="D898"/>
      <c r="E898"/>
    </row>
    <row r="899" spans="1:5" x14ac:dyDescent="0.25">
      <c r="A899"/>
      <c r="B899"/>
      <c r="C899"/>
      <c r="D899"/>
      <c r="E899"/>
    </row>
    <row r="900" spans="1:5" x14ac:dyDescent="0.25">
      <c r="A900"/>
      <c r="B900"/>
      <c r="C900"/>
      <c r="D900"/>
      <c r="E900"/>
    </row>
    <row r="901" spans="1:5" x14ac:dyDescent="0.25">
      <c r="A901"/>
      <c r="B901"/>
      <c r="C901"/>
      <c r="D901"/>
      <c r="E901"/>
    </row>
    <row r="902" spans="1:5" x14ac:dyDescent="0.25">
      <c r="A902"/>
      <c r="B902"/>
      <c r="C902"/>
      <c r="D902"/>
      <c r="E902"/>
    </row>
    <row r="903" spans="1:5" x14ac:dyDescent="0.25">
      <c r="A903"/>
      <c r="B903"/>
      <c r="C903"/>
      <c r="D903"/>
      <c r="E903"/>
    </row>
    <row r="904" spans="1:5" x14ac:dyDescent="0.25">
      <c r="A904"/>
      <c r="B904"/>
      <c r="C904"/>
      <c r="D904"/>
      <c r="E904"/>
    </row>
    <row r="905" spans="1:5" x14ac:dyDescent="0.25">
      <c r="A905"/>
      <c r="B905"/>
      <c r="C905"/>
      <c r="D905"/>
      <c r="E905"/>
    </row>
    <row r="906" spans="1:5" x14ac:dyDescent="0.25">
      <c r="A906"/>
      <c r="B906"/>
      <c r="C906"/>
      <c r="D906"/>
      <c r="E906"/>
    </row>
    <row r="907" spans="1:5" x14ac:dyDescent="0.25">
      <c r="A907"/>
      <c r="B907"/>
      <c r="C907"/>
      <c r="D907"/>
      <c r="E907"/>
    </row>
    <row r="908" spans="1:5" x14ac:dyDescent="0.25">
      <c r="A908"/>
      <c r="B908"/>
      <c r="C908"/>
      <c r="D908"/>
      <c r="E908"/>
    </row>
    <row r="909" spans="1:5" x14ac:dyDescent="0.25">
      <c r="A909"/>
      <c r="B909"/>
      <c r="C909"/>
      <c r="D909"/>
      <c r="E909"/>
    </row>
    <row r="910" spans="1:5" x14ac:dyDescent="0.25">
      <c r="A910"/>
      <c r="B910"/>
      <c r="C910"/>
      <c r="D910"/>
      <c r="E910"/>
    </row>
    <row r="911" spans="1:5" x14ac:dyDescent="0.25">
      <c r="A911"/>
      <c r="B911"/>
      <c r="C911"/>
      <c r="D911"/>
      <c r="E911"/>
    </row>
    <row r="912" spans="1:5" x14ac:dyDescent="0.25">
      <c r="A912"/>
      <c r="B912"/>
      <c r="C912"/>
      <c r="D912"/>
      <c r="E912"/>
    </row>
    <row r="913" spans="1:5" x14ac:dyDescent="0.25">
      <c r="A913"/>
      <c r="B913"/>
      <c r="C913"/>
      <c r="D913"/>
      <c r="E913"/>
    </row>
    <row r="914" spans="1:5" x14ac:dyDescent="0.25">
      <c r="A914"/>
      <c r="B914"/>
      <c r="C914"/>
      <c r="D914"/>
      <c r="E914"/>
    </row>
    <row r="915" spans="1:5" x14ac:dyDescent="0.25">
      <c r="A915"/>
      <c r="B915"/>
      <c r="C915"/>
      <c r="D915"/>
      <c r="E915"/>
    </row>
    <row r="916" spans="1:5" x14ac:dyDescent="0.25">
      <c r="A916"/>
      <c r="B916"/>
      <c r="C916"/>
      <c r="D916"/>
      <c r="E916"/>
    </row>
    <row r="917" spans="1:5" x14ac:dyDescent="0.25">
      <c r="A917"/>
      <c r="B917"/>
      <c r="C917"/>
      <c r="D917"/>
      <c r="E917"/>
    </row>
    <row r="918" spans="1:5" x14ac:dyDescent="0.25">
      <c r="A918"/>
      <c r="B918"/>
      <c r="C918"/>
      <c r="D918"/>
      <c r="E918"/>
    </row>
    <row r="919" spans="1:5" x14ac:dyDescent="0.25">
      <c r="A919"/>
      <c r="B919"/>
      <c r="C919"/>
      <c r="D919"/>
      <c r="E919"/>
    </row>
    <row r="920" spans="1:5" x14ac:dyDescent="0.25">
      <c r="A920"/>
      <c r="B920"/>
      <c r="C920"/>
      <c r="D920"/>
      <c r="E920"/>
    </row>
    <row r="921" spans="1:5" x14ac:dyDescent="0.25">
      <c r="A921"/>
      <c r="B921"/>
      <c r="C921"/>
      <c r="D921"/>
      <c r="E921"/>
    </row>
    <row r="922" spans="1:5" x14ac:dyDescent="0.25">
      <c r="A922"/>
      <c r="B922"/>
      <c r="C922"/>
      <c r="D922"/>
      <c r="E922"/>
    </row>
    <row r="923" spans="1:5" x14ac:dyDescent="0.25">
      <c r="A923"/>
      <c r="B923"/>
      <c r="C923"/>
      <c r="D923"/>
      <c r="E923"/>
    </row>
    <row r="924" spans="1:5" x14ac:dyDescent="0.25">
      <c r="A924"/>
      <c r="B924"/>
      <c r="C924"/>
      <c r="D924"/>
      <c r="E924"/>
    </row>
    <row r="925" spans="1:5" x14ac:dyDescent="0.25">
      <c r="A925"/>
      <c r="B925"/>
      <c r="C925"/>
      <c r="D925"/>
      <c r="E925"/>
    </row>
    <row r="926" spans="1:5" x14ac:dyDescent="0.25">
      <c r="A926"/>
      <c r="B926"/>
      <c r="C926"/>
      <c r="D926"/>
      <c r="E926"/>
    </row>
    <row r="927" spans="1:5" x14ac:dyDescent="0.25">
      <c r="A927"/>
      <c r="B927"/>
      <c r="C927"/>
      <c r="D927"/>
      <c r="E927"/>
    </row>
    <row r="928" spans="1:5" x14ac:dyDescent="0.25">
      <c r="A928"/>
      <c r="B928"/>
      <c r="C928"/>
      <c r="D928"/>
      <c r="E928"/>
    </row>
    <row r="929" spans="1:5" x14ac:dyDescent="0.25">
      <c r="A929"/>
      <c r="B929"/>
      <c r="C929"/>
      <c r="D929"/>
      <c r="E929"/>
    </row>
    <row r="930" spans="1:5" x14ac:dyDescent="0.25">
      <c r="A930"/>
      <c r="B930"/>
      <c r="C930"/>
      <c r="D930"/>
      <c r="E930"/>
    </row>
    <row r="931" spans="1:5" x14ac:dyDescent="0.25">
      <c r="A931"/>
      <c r="B931"/>
      <c r="C931"/>
      <c r="D931"/>
      <c r="E931"/>
    </row>
    <row r="932" spans="1:5" x14ac:dyDescent="0.25">
      <c r="A932"/>
      <c r="B932"/>
      <c r="C932"/>
      <c r="D932"/>
      <c r="E932"/>
    </row>
    <row r="933" spans="1:5" x14ac:dyDescent="0.25">
      <c r="A933"/>
      <c r="B933"/>
      <c r="C933"/>
      <c r="D933"/>
      <c r="E933"/>
    </row>
    <row r="934" spans="1:5" x14ac:dyDescent="0.25">
      <c r="A934"/>
      <c r="B934"/>
      <c r="C934"/>
      <c r="D934"/>
      <c r="E934"/>
    </row>
    <row r="935" spans="1:5" x14ac:dyDescent="0.25">
      <c r="A935"/>
      <c r="B935"/>
      <c r="C935"/>
      <c r="D935"/>
      <c r="E935"/>
    </row>
    <row r="936" spans="1:5" x14ac:dyDescent="0.25">
      <c r="A936"/>
      <c r="B936"/>
      <c r="C936"/>
      <c r="D936"/>
      <c r="E936"/>
    </row>
    <row r="937" spans="1:5" x14ac:dyDescent="0.25">
      <c r="A937"/>
      <c r="B937"/>
      <c r="C937"/>
      <c r="D937"/>
      <c r="E937"/>
    </row>
    <row r="938" spans="1:5" x14ac:dyDescent="0.25">
      <c r="A938"/>
      <c r="B938"/>
      <c r="C938"/>
      <c r="D938"/>
      <c r="E938"/>
    </row>
    <row r="939" spans="1:5" x14ac:dyDescent="0.25">
      <c r="A939"/>
      <c r="B939"/>
      <c r="C939"/>
      <c r="D939"/>
      <c r="E939"/>
    </row>
    <row r="940" spans="1:5" x14ac:dyDescent="0.25">
      <c r="A940"/>
      <c r="B940"/>
      <c r="C940"/>
      <c r="D940"/>
      <c r="E940"/>
    </row>
    <row r="941" spans="1:5" x14ac:dyDescent="0.25">
      <c r="A941"/>
      <c r="B941"/>
      <c r="C941"/>
      <c r="D941"/>
      <c r="E941"/>
    </row>
    <row r="942" spans="1:5" x14ac:dyDescent="0.25">
      <c r="A942"/>
      <c r="B942"/>
      <c r="C942"/>
      <c r="D942"/>
      <c r="E942"/>
    </row>
    <row r="943" spans="1:5" x14ac:dyDescent="0.25">
      <c r="A943"/>
      <c r="B943"/>
      <c r="C943"/>
      <c r="D943"/>
      <c r="E943"/>
    </row>
    <row r="944" spans="1:5" x14ac:dyDescent="0.25">
      <c r="A944"/>
      <c r="B944"/>
      <c r="C944"/>
      <c r="D944"/>
      <c r="E944"/>
    </row>
    <row r="945" spans="1:5" x14ac:dyDescent="0.25">
      <c r="A945"/>
      <c r="B945"/>
      <c r="C945"/>
      <c r="D945"/>
      <c r="E945"/>
    </row>
    <row r="946" spans="1:5" x14ac:dyDescent="0.25">
      <c r="A946"/>
      <c r="B946"/>
      <c r="C946"/>
      <c r="D946"/>
      <c r="E946"/>
    </row>
    <row r="947" spans="1:5" x14ac:dyDescent="0.25">
      <c r="A947"/>
      <c r="B947"/>
      <c r="C947"/>
      <c r="D947"/>
      <c r="E947"/>
    </row>
    <row r="948" spans="1:5" x14ac:dyDescent="0.25">
      <c r="A948"/>
      <c r="B948"/>
      <c r="C948"/>
      <c r="D948"/>
      <c r="E948"/>
    </row>
    <row r="949" spans="1:5" x14ac:dyDescent="0.25">
      <c r="A949"/>
      <c r="B949"/>
      <c r="C949"/>
      <c r="D949"/>
      <c r="E949"/>
    </row>
    <row r="950" spans="1:5" x14ac:dyDescent="0.25">
      <c r="A950"/>
      <c r="B950"/>
      <c r="C950"/>
      <c r="D950"/>
      <c r="E950"/>
    </row>
    <row r="951" spans="1:5" x14ac:dyDescent="0.25">
      <c r="A951"/>
      <c r="B951"/>
      <c r="C951"/>
      <c r="D951"/>
      <c r="E951"/>
    </row>
    <row r="952" spans="1:5" x14ac:dyDescent="0.25">
      <c r="A952"/>
      <c r="B952"/>
      <c r="C952"/>
      <c r="D952"/>
      <c r="E952"/>
    </row>
    <row r="953" spans="1:5" x14ac:dyDescent="0.25">
      <c r="A953"/>
      <c r="B953"/>
      <c r="C953"/>
      <c r="D953"/>
      <c r="E953"/>
    </row>
    <row r="954" spans="1:5" x14ac:dyDescent="0.25">
      <c r="A954"/>
      <c r="B954"/>
      <c r="C954"/>
      <c r="D954"/>
      <c r="E954"/>
    </row>
    <row r="955" spans="1:5" x14ac:dyDescent="0.25">
      <c r="A955"/>
      <c r="B955"/>
      <c r="C955"/>
      <c r="D955"/>
      <c r="E955"/>
    </row>
    <row r="956" spans="1:5" x14ac:dyDescent="0.25">
      <c r="A956"/>
      <c r="B956"/>
      <c r="C956"/>
      <c r="D956"/>
      <c r="E956"/>
    </row>
    <row r="957" spans="1:5" x14ac:dyDescent="0.25">
      <c r="A957"/>
      <c r="B957"/>
      <c r="C957"/>
      <c r="D957"/>
      <c r="E957"/>
    </row>
    <row r="958" spans="1:5" x14ac:dyDescent="0.25">
      <c r="A958"/>
      <c r="B958"/>
      <c r="C958"/>
      <c r="D958"/>
      <c r="E958"/>
    </row>
    <row r="959" spans="1:5" x14ac:dyDescent="0.25">
      <c r="A959"/>
      <c r="B959"/>
      <c r="C959"/>
      <c r="D959"/>
      <c r="E959"/>
    </row>
    <row r="960" spans="1:5" x14ac:dyDescent="0.25">
      <c r="A960"/>
      <c r="B960"/>
      <c r="C960"/>
      <c r="D960"/>
      <c r="E960"/>
    </row>
    <row r="961" spans="1:5" x14ac:dyDescent="0.25">
      <c r="A961"/>
      <c r="B961"/>
      <c r="C961"/>
      <c r="D961"/>
      <c r="E961"/>
    </row>
    <row r="962" spans="1:5" x14ac:dyDescent="0.25">
      <c r="A962"/>
      <c r="B962"/>
      <c r="C962"/>
      <c r="D962"/>
      <c r="E962"/>
    </row>
    <row r="963" spans="1:5" x14ac:dyDescent="0.25">
      <c r="A963"/>
      <c r="B963"/>
      <c r="C963"/>
      <c r="D963"/>
      <c r="E963"/>
    </row>
    <row r="964" spans="1:5" x14ac:dyDescent="0.25">
      <c r="A964"/>
      <c r="B964"/>
      <c r="C964"/>
      <c r="D964"/>
      <c r="E964"/>
    </row>
    <row r="965" spans="1:5" x14ac:dyDescent="0.25">
      <c r="A965"/>
      <c r="B965"/>
      <c r="C965"/>
      <c r="D965"/>
      <c r="E965"/>
    </row>
    <row r="966" spans="1:5" x14ac:dyDescent="0.25">
      <c r="A966"/>
      <c r="B966"/>
      <c r="C966"/>
      <c r="D966"/>
      <c r="E966"/>
    </row>
    <row r="967" spans="1:5" x14ac:dyDescent="0.25">
      <c r="A967"/>
      <c r="B967"/>
      <c r="C967"/>
      <c r="D967"/>
      <c r="E967"/>
    </row>
    <row r="968" spans="1:5" x14ac:dyDescent="0.25">
      <c r="A968"/>
      <c r="B968"/>
      <c r="C968"/>
      <c r="D968"/>
      <c r="E968"/>
    </row>
    <row r="969" spans="1:5" x14ac:dyDescent="0.25">
      <c r="A969"/>
      <c r="B969"/>
      <c r="C969"/>
      <c r="D969"/>
      <c r="E969"/>
    </row>
    <row r="970" spans="1:5" x14ac:dyDescent="0.25">
      <c r="A970"/>
      <c r="B970"/>
      <c r="C970"/>
      <c r="D970"/>
      <c r="E970"/>
    </row>
    <row r="971" spans="1:5" x14ac:dyDescent="0.25">
      <c r="A971"/>
      <c r="B971"/>
      <c r="C971"/>
      <c r="D971"/>
      <c r="E971"/>
    </row>
    <row r="972" spans="1:5" x14ac:dyDescent="0.25">
      <c r="A972"/>
      <c r="B972"/>
      <c r="C972"/>
      <c r="D972"/>
      <c r="E972"/>
    </row>
    <row r="973" spans="1:5" x14ac:dyDescent="0.25">
      <c r="A973"/>
      <c r="B973"/>
      <c r="C973"/>
      <c r="D973"/>
      <c r="E973"/>
    </row>
    <row r="974" spans="1:5" x14ac:dyDescent="0.25">
      <c r="A974"/>
      <c r="B974"/>
      <c r="C974"/>
      <c r="D974"/>
      <c r="E974"/>
    </row>
    <row r="975" spans="1:5" x14ac:dyDescent="0.25">
      <c r="A975"/>
      <c r="B975"/>
      <c r="C975"/>
      <c r="D975"/>
      <c r="E975"/>
    </row>
    <row r="976" spans="1:5" x14ac:dyDescent="0.25">
      <c r="A976"/>
      <c r="B976"/>
      <c r="C976"/>
      <c r="D976"/>
      <c r="E976"/>
    </row>
    <row r="977" spans="1:5" x14ac:dyDescent="0.25">
      <c r="A977"/>
      <c r="B977"/>
      <c r="C977"/>
      <c r="D977"/>
      <c r="E977"/>
    </row>
    <row r="978" spans="1:5" x14ac:dyDescent="0.25">
      <c r="A978"/>
      <c r="B978"/>
      <c r="C978"/>
      <c r="D978"/>
      <c r="E978"/>
    </row>
    <row r="979" spans="1:5" x14ac:dyDescent="0.25">
      <c r="A979"/>
      <c r="B979"/>
      <c r="C979"/>
      <c r="D979"/>
      <c r="E979"/>
    </row>
    <row r="980" spans="1:5" x14ac:dyDescent="0.25">
      <c r="A980"/>
      <c r="B980"/>
      <c r="C980"/>
      <c r="D980"/>
      <c r="E980"/>
    </row>
    <row r="981" spans="1:5" x14ac:dyDescent="0.25">
      <c r="A981"/>
      <c r="B981"/>
      <c r="C981"/>
      <c r="D981"/>
      <c r="E981"/>
    </row>
    <row r="982" spans="1:5" x14ac:dyDescent="0.25">
      <c r="A982"/>
      <c r="B982"/>
      <c r="C982"/>
      <c r="D982"/>
      <c r="E982"/>
    </row>
    <row r="983" spans="1:5" x14ac:dyDescent="0.25">
      <c r="A983"/>
      <c r="B983"/>
      <c r="C983"/>
      <c r="D983"/>
      <c r="E983"/>
    </row>
    <row r="984" spans="1:5" x14ac:dyDescent="0.25">
      <c r="A984"/>
      <c r="B984"/>
      <c r="C984"/>
      <c r="D984"/>
      <c r="E984"/>
    </row>
    <row r="985" spans="1:5" x14ac:dyDescent="0.25">
      <c r="A985"/>
      <c r="B985"/>
      <c r="C985"/>
      <c r="D985"/>
      <c r="E985"/>
    </row>
    <row r="986" spans="1:5" x14ac:dyDescent="0.25">
      <c r="A986"/>
      <c r="B986"/>
      <c r="C986"/>
      <c r="D986"/>
      <c r="E986"/>
    </row>
    <row r="987" spans="1:5" x14ac:dyDescent="0.25">
      <c r="A987"/>
      <c r="B987"/>
      <c r="C987"/>
      <c r="D987"/>
      <c r="E987"/>
    </row>
    <row r="988" spans="1:5" x14ac:dyDescent="0.25">
      <c r="A988"/>
      <c r="B988"/>
      <c r="C988"/>
      <c r="D988"/>
      <c r="E988"/>
    </row>
  </sheetData>
  <mergeCells count="2">
    <mergeCell ref="A1:E1"/>
    <mergeCell ref="A2:E2"/>
  </mergeCells>
  <conditionalFormatting sqref="A8:E8 A14:E14 A16:E16 A10:E10 A12:E12">
    <cfRule type="expression" dxfId="23" priority="34">
      <formula>AND((A8/A9-1)&gt;-0.029,(A8/A9-1)&lt;0.029)</formula>
    </cfRule>
    <cfRule type="expression" dxfId="22" priority="35">
      <formula>((A8/A9-1)&gt;=0.029)</formula>
    </cfRule>
    <cfRule type="expression" dxfId="21" priority="36">
      <formula>((A8/A9-1)&lt;=-0.029)</formula>
    </cfRule>
  </conditionalFormatting>
  <conditionalFormatting sqref="B7:E7">
    <cfRule type="expression" dxfId="20" priority="6566">
      <formula>AND((B7/B6-1)&gt;-0.029,(B7/B6-1)&lt;0.029)</formula>
    </cfRule>
    <cfRule type="expression" dxfId="19" priority="6567">
      <formula>((B7/B6-1)&gt;=0.029)</formula>
    </cfRule>
    <cfRule type="expression" dxfId="18" priority="6568">
      <formula>((B7/B6-1)&lt;=-0.029)</formula>
    </cfRule>
  </conditionalFormatting>
  <printOptions horizontalCentered="1"/>
  <pageMargins left="0.19685039370078741" right="0.19685039370078741" top="0.19685039370078741" bottom="0.19685039370078741" header="0" footer="0"/>
  <pageSetup paperSize="9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24577" r:id="rId4" name="CommandButton1">
          <controlPr defaultSize="0" autoLine="0" r:id="rId5">
            <anchor moveWithCells="1">
              <from>
                <xdr:col>5</xdr:col>
                <xdr:colOff>590550</xdr:colOff>
                <xdr:row>0</xdr:row>
                <xdr:rowOff>209550</xdr:rowOff>
              </from>
              <to>
                <xdr:col>8</xdr:col>
                <xdr:colOff>257175</xdr:colOff>
                <xdr:row>3</xdr:row>
                <xdr:rowOff>76200</xdr:rowOff>
              </to>
            </anchor>
          </controlPr>
        </control>
      </mc:Choice>
      <mc:Fallback>
        <control shapeId="24577" r:id="rId4" name="CommandButton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6">
    <pageSetUpPr fitToPage="1"/>
  </sheetPr>
  <dimension ref="A1:DA931"/>
  <sheetViews>
    <sheetView showGridLines="0" showZeros="0" tabSelected="1" view="pageBreakPreview" topLeftCell="A16" zoomScale="80" zoomScaleNormal="80" zoomScaleSheetLayoutView="80" workbookViewId="0">
      <selection activeCell="B16" sqref="B16"/>
    </sheetView>
  </sheetViews>
  <sheetFormatPr defaultRowHeight="15" x14ac:dyDescent="0.25"/>
  <cols>
    <col min="1" max="1" width="47" style="76" bestFit="1" customWidth="1"/>
    <col min="2" max="2" width="12.140625" style="82" customWidth="1"/>
    <col min="3" max="3" width="7.42578125" style="76" customWidth="1"/>
    <col min="4" max="4" width="10.85546875" style="76" customWidth="1"/>
    <col min="5" max="6" width="10.28515625" style="76" customWidth="1"/>
    <col min="7" max="7" width="10.28515625" style="83" customWidth="1"/>
    <col min="8" max="8" width="10.28515625" style="76" customWidth="1"/>
    <col min="9" max="9" width="10.28515625" style="83" customWidth="1"/>
    <col min="10" max="11" width="10.28515625" style="76" customWidth="1"/>
    <col min="12" max="12" width="11.28515625" style="76" customWidth="1"/>
    <col min="13" max="13" width="10.28515625" style="83" customWidth="1"/>
    <col min="14" max="14" width="10.28515625" style="76" customWidth="1"/>
    <col min="15" max="15" width="9.140625" style="73" customWidth="1"/>
    <col min="16" max="16" width="11.7109375" style="73" customWidth="1"/>
    <col min="17" max="16384" width="9.140625" style="73"/>
  </cols>
  <sheetData>
    <row r="1" spans="1:105" s="71" customFormat="1" ht="21" x14ac:dyDescent="0.35">
      <c r="A1" s="136" t="s">
        <v>63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</row>
    <row r="2" spans="1:105" s="71" customFormat="1" ht="21" x14ac:dyDescent="0.35">
      <c r="A2" s="137" t="s">
        <v>70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</row>
    <row r="3" spans="1:105" ht="9" customHeight="1" x14ac:dyDescent="0.3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</row>
    <row r="4" spans="1:105" ht="39" customHeight="1" x14ac:dyDescent="0.25">
      <c r="A4" s="138" t="s">
        <v>38</v>
      </c>
      <c r="B4" s="139" t="s">
        <v>2</v>
      </c>
      <c r="C4" s="138" t="s">
        <v>36</v>
      </c>
      <c r="D4" s="138"/>
      <c r="E4" s="138" t="s">
        <v>6</v>
      </c>
      <c r="F4" s="138"/>
      <c r="G4" s="138" t="s">
        <v>7</v>
      </c>
      <c r="H4" s="138"/>
      <c r="I4" s="138" t="s">
        <v>8</v>
      </c>
      <c r="J4" s="138"/>
      <c r="K4" s="138" t="s">
        <v>37</v>
      </c>
      <c r="L4" s="138"/>
      <c r="M4" s="138" t="s">
        <v>9</v>
      </c>
      <c r="N4" s="138"/>
      <c r="O4" s="138" t="s">
        <v>44</v>
      </c>
      <c r="P4" s="138"/>
    </row>
    <row r="5" spans="1:105" ht="79.5" customHeight="1" x14ac:dyDescent="0.25">
      <c r="A5" s="138"/>
      <c r="B5" s="139"/>
      <c r="C5" s="114" t="s">
        <v>11</v>
      </c>
      <c r="D5" s="113" t="s">
        <v>12</v>
      </c>
      <c r="E5" s="114" t="s">
        <v>11</v>
      </c>
      <c r="F5" s="113" t="s">
        <v>12</v>
      </c>
      <c r="G5" s="114" t="s">
        <v>11</v>
      </c>
      <c r="H5" s="113" t="s">
        <v>12</v>
      </c>
      <c r="I5" s="114" t="s">
        <v>11</v>
      </c>
      <c r="J5" s="113" t="s">
        <v>12</v>
      </c>
      <c r="K5" s="114" t="s">
        <v>11</v>
      </c>
      <c r="L5" s="113" t="s">
        <v>12</v>
      </c>
      <c r="M5" s="114" t="s">
        <v>11</v>
      </c>
      <c r="N5" s="113" t="s">
        <v>12</v>
      </c>
      <c r="O5" s="106" t="s">
        <v>11</v>
      </c>
      <c r="P5" s="105" t="s">
        <v>12</v>
      </c>
    </row>
    <row r="6" spans="1:105" s="77" customFormat="1" ht="20.25" customHeight="1" x14ac:dyDescent="0.25">
      <c r="A6" s="117" t="s">
        <v>13</v>
      </c>
      <c r="B6" s="107">
        <v>1522.950726</v>
      </c>
      <c r="C6" s="108">
        <v>0</v>
      </c>
      <c r="D6" s="108">
        <v>0</v>
      </c>
      <c r="E6" s="109">
        <v>2.39127</v>
      </c>
      <c r="F6" s="108">
        <v>0.20841670785337121</v>
      </c>
      <c r="G6" s="107">
        <v>259.90216400000003</v>
      </c>
      <c r="H6" s="107">
        <v>22.652378604192329</v>
      </c>
      <c r="I6" s="107">
        <v>779.23487499999999</v>
      </c>
      <c r="J6" s="107">
        <v>67.91603093420369</v>
      </c>
      <c r="K6" s="107">
        <v>1041.528309</v>
      </c>
      <c r="L6" s="107">
        <v>90.776826246249385</v>
      </c>
      <c r="M6" s="107">
        <v>105.66212400000001</v>
      </c>
      <c r="N6" s="107">
        <v>9.2092285809944876</v>
      </c>
      <c r="O6" s="107">
        <v>0.16</v>
      </c>
      <c r="P6" s="115">
        <v>1.3945172756125154E-2</v>
      </c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</row>
    <row r="7" spans="1:105" s="79" customFormat="1" ht="20.25" customHeight="1" x14ac:dyDescent="0.25">
      <c r="A7" s="117" t="s">
        <v>14</v>
      </c>
      <c r="B7" s="107">
        <v>299.43596900000006</v>
      </c>
      <c r="C7" s="109">
        <v>0</v>
      </c>
      <c r="D7" s="109">
        <v>0</v>
      </c>
      <c r="E7" s="109">
        <v>0</v>
      </c>
      <c r="F7" s="109">
        <v>0</v>
      </c>
      <c r="G7" s="107">
        <v>49.392344000000008</v>
      </c>
      <c r="H7" s="107">
        <v>16.495127210318547</v>
      </c>
      <c r="I7" s="107">
        <v>223.58788099999998</v>
      </c>
      <c r="J7" s="107">
        <v>74.669680381651133</v>
      </c>
      <c r="K7" s="107">
        <v>272.98022500000002</v>
      </c>
      <c r="L7" s="107">
        <v>91.164807591969677</v>
      </c>
      <c r="M7" s="107">
        <v>26.455744000000003</v>
      </c>
      <c r="N7" s="107">
        <v>8.8351924080303146</v>
      </c>
      <c r="O7" s="107">
        <v>0</v>
      </c>
      <c r="P7" s="107">
        <v>0</v>
      </c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78"/>
      <c r="CC7" s="78"/>
      <c r="CD7" s="78"/>
      <c r="CE7" s="78"/>
      <c r="CF7" s="78"/>
      <c r="CG7" s="78"/>
      <c r="CH7" s="78"/>
      <c r="CI7" s="78"/>
      <c r="CJ7" s="78"/>
      <c r="CK7" s="78"/>
      <c r="CL7" s="78"/>
      <c r="CM7" s="78"/>
      <c r="CN7" s="78"/>
      <c r="CO7" s="78"/>
      <c r="CP7" s="78"/>
      <c r="CQ7" s="78"/>
      <c r="CR7" s="78"/>
      <c r="CS7" s="78"/>
      <c r="CT7" s="78"/>
      <c r="CU7" s="78"/>
      <c r="CV7" s="78"/>
      <c r="CW7" s="78"/>
      <c r="CX7" s="78"/>
      <c r="CY7" s="78"/>
      <c r="CZ7" s="78"/>
      <c r="DA7" s="78"/>
    </row>
    <row r="8" spans="1:105" ht="20.25" customHeight="1" x14ac:dyDescent="0.25">
      <c r="A8" s="116" t="s">
        <v>15</v>
      </c>
      <c r="B8" s="110">
        <v>169.62</v>
      </c>
      <c r="C8" s="111"/>
      <c r="D8" s="111"/>
      <c r="E8" s="111"/>
      <c r="F8" s="111"/>
      <c r="G8" s="110">
        <v>4.79</v>
      </c>
      <c r="H8" s="110">
        <v>2.823959438745431</v>
      </c>
      <c r="I8" s="112">
        <v>162.91999999999999</v>
      </c>
      <c r="J8" s="110">
        <v>96.049994104468809</v>
      </c>
      <c r="K8" s="110">
        <v>167.70999999999998</v>
      </c>
      <c r="L8" s="110">
        <v>98.873953543214228</v>
      </c>
      <c r="M8" s="110">
        <v>1.91</v>
      </c>
      <c r="N8" s="110">
        <v>1.1260464567857562</v>
      </c>
      <c r="O8" s="110"/>
      <c r="P8" s="110"/>
    </row>
    <row r="9" spans="1:105" ht="20.25" customHeight="1" x14ac:dyDescent="0.25">
      <c r="A9" s="116" t="s">
        <v>17</v>
      </c>
      <c r="B9" s="110">
        <v>114.251565</v>
      </c>
      <c r="C9" s="111"/>
      <c r="D9" s="111"/>
      <c r="E9" s="111">
        <v>0</v>
      </c>
      <c r="F9" s="111">
        <v>0</v>
      </c>
      <c r="G9" s="110">
        <v>42.602804000000006</v>
      </c>
      <c r="H9" s="110">
        <v>37.28859556540867</v>
      </c>
      <c r="I9" s="112">
        <v>51.596520999999996</v>
      </c>
      <c r="J9" s="110">
        <v>45.160450099742611</v>
      </c>
      <c r="K9" s="110">
        <v>94.199325000000002</v>
      </c>
      <c r="L9" s="110">
        <v>82.449045665151289</v>
      </c>
      <c r="M9" s="110">
        <v>20.052240000000001</v>
      </c>
      <c r="N9" s="110">
        <v>17.550954334848718</v>
      </c>
      <c r="O9" s="110">
        <v>0</v>
      </c>
      <c r="P9" s="110">
        <v>0</v>
      </c>
    </row>
    <row r="10" spans="1:105" ht="20.25" customHeight="1" x14ac:dyDescent="0.25">
      <c r="A10" s="116" t="s">
        <v>57</v>
      </c>
      <c r="B10" s="110">
        <v>4.2901100000000003</v>
      </c>
      <c r="C10" s="111"/>
      <c r="D10" s="111"/>
      <c r="E10" s="111"/>
      <c r="F10" s="111"/>
      <c r="G10" s="110">
        <v>1.15954</v>
      </c>
      <c r="H10" s="110">
        <v>27.028211397842945</v>
      </c>
      <c r="I10" s="112">
        <v>2.8203999999999998</v>
      </c>
      <c r="J10" s="110">
        <v>65.741904053742203</v>
      </c>
      <c r="K10" s="110">
        <v>3.97994</v>
      </c>
      <c r="L10" s="110">
        <v>92.770115451585156</v>
      </c>
      <c r="M10" s="110">
        <v>0.31017</v>
      </c>
      <c r="N10" s="110">
        <v>7.2298845484148417</v>
      </c>
      <c r="O10" s="110"/>
      <c r="P10" s="110"/>
    </row>
    <row r="11" spans="1:105" ht="20.25" customHeight="1" x14ac:dyDescent="0.25">
      <c r="A11" s="116" t="s">
        <v>45</v>
      </c>
      <c r="B11" s="110">
        <v>5.6732940000000003</v>
      </c>
      <c r="C11" s="111"/>
      <c r="D11" s="111"/>
      <c r="E11" s="111"/>
      <c r="F11" s="111"/>
      <c r="G11" s="110">
        <v>0.84</v>
      </c>
      <c r="H11" s="110">
        <v>14.806213110055639</v>
      </c>
      <c r="I11" s="112">
        <v>0.64995999999999998</v>
      </c>
      <c r="J11" s="110">
        <v>11.456483658347336</v>
      </c>
      <c r="K11" s="110">
        <v>1.48996</v>
      </c>
      <c r="L11" s="110">
        <v>26.262696768402975</v>
      </c>
      <c r="M11" s="110">
        <v>4.1833340000000003</v>
      </c>
      <c r="N11" s="110">
        <v>73.737303231597025</v>
      </c>
      <c r="O11" s="110"/>
      <c r="P11" s="110"/>
    </row>
    <row r="12" spans="1:105" ht="20.25" customHeight="1" x14ac:dyDescent="0.25">
      <c r="A12" s="116" t="s">
        <v>16</v>
      </c>
      <c r="B12" s="110">
        <v>5.601</v>
      </c>
      <c r="C12" s="111">
        <v>0</v>
      </c>
      <c r="D12" s="111">
        <v>0</v>
      </c>
      <c r="E12" s="111">
        <v>0</v>
      </c>
      <c r="F12" s="111">
        <v>0</v>
      </c>
      <c r="G12" s="110">
        <v>0</v>
      </c>
      <c r="H12" s="110">
        <v>0</v>
      </c>
      <c r="I12" s="112">
        <v>5.601</v>
      </c>
      <c r="J12" s="110">
        <v>100</v>
      </c>
      <c r="K12" s="110">
        <v>5.601</v>
      </c>
      <c r="L12" s="110">
        <v>100</v>
      </c>
      <c r="M12" s="110">
        <v>0</v>
      </c>
      <c r="N12" s="110">
        <v>0</v>
      </c>
      <c r="O12" s="110">
        <v>0</v>
      </c>
      <c r="P12" s="110">
        <v>0</v>
      </c>
    </row>
    <row r="13" spans="1:105" ht="20.25" customHeight="1" x14ac:dyDescent="0.25">
      <c r="A13" s="117" t="s">
        <v>46</v>
      </c>
      <c r="B13" s="107">
        <v>708.90910200000008</v>
      </c>
      <c r="C13" s="109">
        <v>0</v>
      </c>
      <c r="D13" s="109">
        <v>0</v>
      </c>
      <c r="E13" s="109">
        <v>2.39127</v>
      </c>
      <c r="F13" s="109">
        <v>0.54727400890736067</v>
      </c>
      <c r="G13" s="107">
        <v>161.46642</v>
      </c>
      <c r="H13" s="107">
        <v>36.953742144266286</v>
      </c>
      <c r="I13" s="107">
        <v>209.35207000000003</v>
      </c>
      <c r="J13" s="107">
        <v>47.913011337889237</v>
      </c>
      <c r="K13" s="107">
        <v>373.20976000000002</v>
      </c>
      <c r="L13" s="107">
        <v>85.414027491062882</v>
      </c>
      <c r="M13" s="107">
        <v>63.572240000000001</v>
      </c>
      <c r="N13" s="107">
        <v>14.549354376553408</v>
      </c>
      <c r="O13" s="107">
        <v>0.16</v>
      </c>
      <c r="P13" s="115">
        <v>3.6618132383703095E-2</v>
      </c>
    </row>
    <row r="14" spans="1:105" ht="20.25" customHeight="1" x14ac:dyDescent="0.25">
      <c r="A14" s="116" t="s">
        <v>48</v>
      </c>
      <c r="B14" s="110">
        <v>98.721999999999994</v>
      </c>
      <c r="C14" s="111"/>
      <c r="D14" s="111"/>
      <c r="E14" s="111"/>
      <c r="F14" s="111"/>
      <c r="G14" s="110"/>
      <c r="H14" s="110"/>
      <c r="I14" s="112">
        <v>30.347079999999998</v>
      </c>
      <c r="J14" s="110">
        <v>55.91074938298808</v>
      </c>
      <c r="K14" s="110">
        <v>30.347079999999998</v>
      </c>
      <c r="L14" s="110">
        <v>55.91074938298808</v>
      </c>
      <c r="M14" s="110">
        <v>23.930640000000004</v>
      </c>
      <c r="N14" s="110">
        <v>44.08925061701192</v>
      </c>
      <c r="O14" s="110"/>
      <c r="P14" s="110"/>
    </row>
    <row r="15" spans="1:105" ht="20.25" customHeight="1" x14ac:dyDescent="0.25">
      <c r="A15" s="116" t="s">
        <v>58</v>
      </c>
      <c r="B15" s="110">
        <v>35</v>
      </c>
      <c r="C15" s="111"/>
      <c r="D15" s="111"/>
      <c r="E15" s="111"/>
      <c r="F15" s="111"/>
      <c r="G15" s="110">
        <v>7</v>
      </c>
      <c r="H15" s="110">
        <v>55.910543130990419</v>
      </c>
      <c r="I15" s="112">
        <v>5.52</v>
      </c>
      <c r="J15" s="110">
        <v>44.089456869009581</v>
      </c>
      <c r="K15" s="110">
        <v>12.52</v>
      </c>
      <c r="L15" s="110">
        <v>100</v>
      </c>
      <c r="M15" s="110"/>
      <c r="N15" s="110"/>
      <c r="O15" s="110"/>
      <c r="P15" s="110"/>
    </row>
    <row r="16" spans="1:105" ht="20.25" customHeight="1" x14ac:dyDescent="0.25">
      <c r="A16" s="116" t="s">
        <v>51</v>
      </c>
      <c r="B16" s="110">
        <v>16.96294</v>
      </c>
      <c r="C16" s="111"/>
      <c r="D16" s="111"/>
      <c r="E16" s="111">
        <v>2.39127</v>
      </c>
      <c r="F16" s="111">
        <v>14.097025633528151</v>
      </c>
      <c r="G16" s="110">
        <v>9.4084199999999996</v>
      </c>
      <c r="H16" s="110">
        <v>55.46455979918575</v>
      </c>
      <c r="I16" s="112">
        <v>5.1632499999999997</v>
      </c>
      <c r="J16" s="110">
        <v>30.438414567286092</v>
      </c>
      <c r="K16" s="110">
        <v>16.96294</v>
      </c>
      <c r="L16" s="110">
        <v>100</v>
      </c>
      <c r="M16" s="110"/>
      <c r="N16" s="110"/>
      <c r="O16" s="110"/>
      <c r="P16" s="110"/>
    </row>
    <row r="17" spans="1:16" ht="20.25" customHeight="1" x14ac:dyDescent="0.25">
      <c r="A17" s="116" t="s">
        <v>64</v>
      </c>
      <c r="B17" s="110">
        <v>81.414000000000001</v>
      </c>
      <c r="C17" s="111"/>
      <c r="D17" s="111"/>
      <c r="E17" s="111"/>
      <c r="F17" s="111"/>
      <c r="G17" s="110">
        <v>19.518000000000001</v>
      </c>
      <c r="H17" s="110">
        <v>46.098535324024191</v>
      </c>
      <c r="I17" s="112">
        <v>12.49174</v>
      </c>
      <c r="J17" s="110">
        <v>29.503582213778358</v>
      </c>
      <c r="K17" s="110">
        <v>32.009740000000001</v>
      </c>
      <c r="L17" s="110">
        <v>75.602117537802542</v>
      </c>
      <c r="M17" s="110">
        <v>10.33</v>
      </c>
      <c r="N17" s="110">
        <v>24.397882462197455</v>
      </c>
      <c r="O17" s="110"/>
      <c r="P17" s="110"/>
    </row>
    <row r="18" spans="1:16" ht="20.25" customHeight="1" x14ac:dyDescent="0.25">
      <c r="A18" s="116" t="s">
        <v>47</v>
      </c>
      <c r="B18" s="110">
        <v>473.3</v>
      </c>
      <c r="C18" s="111"/>
      <c r="D18" s="111"/>
      <c r="E18" s="111"/>
      <c r="F18" s="111"/>
      <c r="G18" s="110">
        <v>125.54</v>
      </c>
      <c r="H18" s="110">
        <v>40.512456434748927</v>
      </c>
      <c r="I18" s="112">
        <v>155.83000000000001</v>
      </c>
      <c r="J18" s="110">
        <v>50.287207951465071</v>
      </c>
      <c r="K18" s="110">
        <v>281.37</v>
      </c>
      <c r="L18" s="110">
        <v>90.799664386214005</v>
      </c>
      <c r="M18" s="110">
        <v>28.35</v>
      </c>
      <c r="N18" s="110">
        <v>9.1487027236349547</v>
      </c>
      <c r="O18" s="110">
        <v>0.16</v>
      </c>
      <c r="P18" s="110">
        <v>5.1632890151026199E-2</v>
      </c>
    </row>
    <row r="19" spans="1:16" ht="20.25" customHeight="1" x14ac:dyDescent="0.25">
      <c r="A19" s="117" t="s">
        <v>18</v>
      </c>
      <c r="B19" s="107">
        <v>84.50831500000001</v>
      </c>
      <c r="C19" s="109">
        <v>0</v>
      </c>
      <c r="D19" s="109">
        <v>0</v>
      </c>
      <c r="E19" s="109">
        <v>0</v>
      </c>
      <c r="F19" s="109">
        <v>0</v>
      </c>
      <c r="G19" s="107">
        <v>18.237499999999997</v>
      </c>
      <c r="H19" s="107">
        <v>21.580716643090085</v>
      </c>
      <c r="I19" s="107">
        <v>60.333255000000001</v>
      </c>
      <c r="J19" s="107">
        <v>71.393276507761399</v>
      </c>
      <c r="K19" s="107">
        <v>78.570754999999991</v>
      </c>
      <c r="L19" s="107">
        <v>92.97399315085147</v>
      </c>
      <c r="M19" s="107">
        <v>5.9375599999999995</v>
      </c>
      <c r="N19" s="107">
        <v>7.0260068491485113</v>
      </c>
      <c r="O19" s="107">
        <v>0</v>
      </c>
      <c r="P19" s="115">
        <v>0</v>
      </c>
    </row>
    <row r="20" spans="1:16" ht="20.25" customHeight="1" x14ac:dyDescent="0.25">
      <c r="A20" s="116" t="s">
        <v>59</v>
      </c>
      <c r="B20" s="110">
        <v>0.31</v>
      </c>
      <c r="C20" s="111"/>
      <c r="D20" s="111"/>
      <c r="E20" s="111"/>
      <c r="F20" s="111"/>
      <c r="G20" s="110">
        <v>0.31</v>
      </c>
      <c r="H20" s="110">
        <v>100</v>
      </c>
      <c r="I20" s="112"/>
      <c r="J20" s="110"/>
      <c r="K20" s="110">
        <v>0.31</v>
      </c>
      <c r="L20" s="110">
        <v>100</v>
      </c>
      <c r="M20" s="110"/>
      <c r="N20" s="110"/>
      <c r="O20" s="110"/>
      <c r="P20" s="110"/>
    </row>
    <row r="21" spans="1:16" ht="20.25" customHeight="1" x14ac:dyDescent="0.25">
      <c r="A21" s="116" t="s">
        <v>60</v>
      </c>
      <c r="B21" s="110">
        <v>1.34</v>
      </c>
      <c r="C21" s="111"/>
      <c r="D21" s="111"/>
      <c r="E21" s="111"/>
      <c r="F21" s="111"/>
      <c r="G21" s="110"/>
      <c r="H21" s="110"/>
      <c r="I21" s="112">
        <v>1.34</v>
      </c>
      <c r="J21" s="110">
        <v>100</v>
      </c>
      <c r="K21" s="110">
        <v>1.34</v>
      </c>
      <c r="L21" s="110">
        <v>100</v>
      </c>
      <c r="M21" s="110"/>
      <c r="N21" s="110"/>
      <c r="O21" s="110"/>
      <c r="P21" s="110"/>
    </row>
    <row r="22" spans="1:16" ht="20.25" customHeight="1" x14ac:dyDescent="0.25">
      <c r="A22" s="116" t="s">
        <v>19</v>
      </c>
      <c r="B22" s="110">
        <v>82.858315000000005</v>
      </c>
      <c r="C22" s="111"/>
      <c r="D22" s="111"/>
      <c r="E22" s="111"/>
      <c r="F22" s="111"/>
      <c r="G22" s="110">
        <v>17.927499999999998</v>
      </c>
      <c r="H22" s="110">
        <v>21.636331851546821</v>
      </c>
      <c r="I22" s="112">
        <v>58.993254999999998</v>
      </c>
      <c r="J22" s="110">
        <v>71.197748831846269</v>
      </c>
      <c r="K22" s="110">
        <v>76.920755</v>
      </c>
      <c r="L22" s="110">
        <v>92.834080683393083</v>
      </c>
      <c r="M22" s="110">
        <v>5.9375599999999995</v>
      </c>
      <c r="N22" s="110">
        <v>7.1659193166069084</v>
      </c>
      <c r="O22" s="110"/>
      <c r="P22" s="110"/>
    </row>
    <row r="23" spans="1:16" ht="20.25" customHeight="1" x14ac:dyDescent="0.25">
      <c r="A23" s="117" t="s">
        <v>52</v>
      </c>
      <c r="B23" s="107">
        <v>58.94744</v>
      </c>
      <c r="C23" s="109"/>
      <c r="D23" s="109"/>
      <c r="E23" s="109"/>
      <c r="F23" s="109"/>
      <c r="G23" s="107">
        <v>0.21</v>
      </c>
      <c r="H23" s="107">
        <v>0.48325651932604952</v>
      </c>
      <c r="I23" s="107">
        <v>39.841521999999998</v>
      </c>
      <c r="J23" s="107">
        <v>91.68416783986774</v>
      </c>
      <c r="K23" s="107">
        <v>40.051521999999999</v>
      </c>
      <c r="L23" s="107">
        <v>92.167424359193788</v>
      </c>
      <c r="M23" s="107">
        <v>3.4036599999999999</v>
      </c>
      <c r="N23" s="107">
        <v>7.8325756408061986</v>
      </c>
      <c r="O23" s="107"/>
      <c r="P23" s="115"/>
    </row>
    <row r="24" spans="1:16" ht="20.25" customHeight="1" x14ac:dyDescent="0.25">
      <c r="A24" s="116" t="s">
        <v>61</v>
      </c>
      <c r="B24" s="110">
        <v>5.3969399999999998</v>
      </c>
      <c r="C24" s="111"/>
      <c r="D24" s="111"/>
      <c r="E24" s="111"/>
      <c r="F24" s="111"/>
      <c r="G24" s="110"/>
      <c r="H24" s="110"/>
      <c r="I24" s="112">
        <v>5.3969399999999998</v>
      </c>
      <c r="J24" s="110">
        <v>100</v>
      </c>
      <c r="K24" s="110">
        <v>5.3969399999999998</v>
      </c>
      <c r="L24" s="110">
        <v>100</v>
      </c>
      <c r="M24" s="110"/>
      <c r="N24" s="110"/>
      <c r="O24" s="110"/>
      <c r="P24" s="110"/>
    </row>
    <row r="25" spans="1:16" ht="18.75" x14ac:dyDescent="0.25">
      <c r="A25" s="116" t="s">
        <v>55</v>
      </c>
      <c r="B25" s="110">
        <v>2.5619999999999998</v>
      </c>
      <c r="C25" s="111"/>
      <c r="D25" s="111"/>
      <c r="E25" s="111"/>
      <c r="F25" s="111"/>
      <c r="G25" s="110"/>
      <c r="H25" s="110"/>
      <c r="I25" s="112">
        <v>2.5619999999999998</v>
      </c>
      <c r="J25" s="110">
        <v>100</v>
      </c>
      <c r="K25" s="110">
        <v>2.5619999999999998</v>
      </c>
      <c r="L25" s="110">
        <v>100</v>
      </c>
      <c r="M25" s="110"/>
      <c r="N25" s="110"/>
      <c r="O25" s="110"/>
      <c r="P25" s="110"/>
    </row>
    <row r="26" spans="1:16" ht="18.75" x14ac:dyDescent="0.25">
      <c r="A26" s="116" t="s">
        <v>65</v>
      </c>
      <c r="B26" s="110">
        <v>4.8</v>
      </c>
      <c r="C26" s="111"/>
      <c r="D26" s="111"/>
      <c r="E26" s="111"/>
      <c r="F26" s="111"/>
      <c r="G26" s="110"/>
      <c r="H26" s="110"/>
      <c r="I26" s="112">
        <v>3.61632</v>
      </c>
      <c r="J26" s="110">
        <v>100</v>
      </c>
      <c r="K26" s="110">
        <v>3.61632</v>
      </c>
      <c r="L26" s="110">
        <v>100</v>
      </c>
      <c r="M26" s="110"/>
      <c r="N26" s="110"/>
      <c r="O26" s="110"/>
      <c r="P26" s="110"/>
    </row>
    <row r="27" spans="1:16" ht="18.75" x14ac:dyDescent="0.25">
      <c r="A27" s="116" t="s">
        <v>68</v>
      </c>
      <c r="B27" s="110">
        <v>27.5</v>
      </c>
      <c r="C27" s="111"/>
      <c r="D27" s="111"/>
      <c r="E27" s="111"/>
      <c r="F27" s="111"/>
      <c r="G27" s="110"/>
      <c r="H27" s="110"/>
      <c r="I27" s="112">
        <v>18.059062000000001</v>
      </c>
      <c r="J27" s="110">
        <v>94.102107235910808</v>
      </c>
      <c r="K27" s="110">
        <v>18.059062000000001</v>
      </c>
      <c r="L27" s="110">
        <v>94.102107235910808</v>
      </c>
      <c r="M27" s="110">
        <v>1.1318600000000001</v>
      </c>
      <c r="N27" s="110">
        <v>5.8978927640891881</v>
      </c>
      <c r="O27" s="110"/>
      <c r="P27" s="110"/>
    </row>
    <row r="28" spans="1:16" ht="18.75" x14ac:dyDescent="0.25">
      <c r="A28" s="116" t="s">
        <v>62</v>
      </c>
      <c r="B28" s="110">
        <v>17.914000000000001</v>
      </c>
      <c r="C28" s="111"/>
      <c r="D28" s="111"/>
      <c r="E28" s="111"/>
      <c r="F28" s="111"/>
      <c r="G28" s="110">
        <v>0.21</v>
      </c>
      <c r="H28" s="110">
        <v>1.7625582273700111</v>
      </c>
      <c r="I28" s="112">
        <v>9.4327000000000005</v>
      </c>
      <c r="J28" s="110">
        <v>79.169919006252883</v>
      </c>
      <c r="K28" s="110">
        <v>9.6427000000000014</v>
      </c>
      <c r="L28" s="110">
        <v>80.932477233622905</v>
      </c>
      <c r="M28" s="110">
        <v>2.2717999999999998</v>
      </c>
      <c r="N28" s="110">
        <v>19.067522766377103</v>
      </c>
      <c r="O28" s="110"/>
      <c r="P28" s="110"/>
    </row>
    <row r="29" spans="1:16" ht="18.75" x14ac:dyDescent="0.25">
      <c r="A29" s="116" t="s">
        <v>67</v>
      </c>
      <c r="B29" s="110">
        <v>0.77449999999999997</v>
      </c>
      <c r="C29" s="111"/>
      <c r="D29" s="111"/>
      <c r="E29" s="111"/>
      <c r="F29" s="111"/>
      <c r="G29" s="110"/>
      <c r="H29" s="110"/>
      <c r="I29" s="112">
        <v>0.77449999999999997</v>
      </c>
      <c r="J29" s="110">
        <v>100</v>
      </c>
      <c r="K29" s="110">
        <v>0.77449999999999997</v>
      </c>
      <c r="L29" s="110">
        <v>100</v>
      </c>
      <c r="M29" s="110"/>
      <c r="N29" s="110"/>
      <c r="O29" s="110"/>
      <c r="P29" s="110"/>
    </row>
    <row r="30" spans="1:16" ht="18.75" x14ac:dyDescent="0.25">
      <c r="A30" s="117" t="s">
        <v>49</v>
      </c>
      <c r="B30" s="107">
        <v>279.89600000000002</v>
      </c>
      <c r="C30" s="109">
        <v>0</v>
      </c>
      <c r="D30" s="109">
        <v>0</v>
      </c>
      <c r="E30" s="109">
        <v>0</v>
      </c>
      <c r="F30" s="109">
        <v>0</v>
      </c>
      <c r="G30" s="107">
        <v>0.61799999999999999</v>
      </c>
      <c r="H30" s="107">
        <v>0.30182963409940711</v>
      </c>
      <c r="I30" s="107">
        <v>203.34894699999998</v>
      </c>
      <c r="J30" s="107">
        <v>99.315110465226084</v>
      </c>
      <c r="K30" s="107">
        <v>203.96694699999998</v>
      </c>
      <c r="L30" s="107">
        <v>99.61694009932549</v>
      </c>
      <c r="M30" s="107">
        <v>0.78432000000000002</v>
      </c>
      <c r="N30" s="107">
        <v>0.38305990067450968</v>
      </c>
      <c r="O30" s="107">
        <v>0</v>
      </c>
      <c r="P30" s="115">
        <v>0</v>
      </c>
    </row>
    <row r="31" spans="1:16" ht="18.75" x14ac:dyDescent="0.25">
      <c r="A31" s="116" t="s">
        <v>66</v>
      </c>
      <c r="B31" s="110">
        <v>15.189</v>
      </c>
      <c r="C31" s="111"/>
      <c r="D31" s="111"/>
      <c r="E31" s="111"/>
      <c r="F31" s="111"/>
      <c r="G31" s="110"/>
      <c r="H31" s="110"/>
      <c r="I31" s="112">
        <v>8.6433420000000005</v>
      </c>
      <c r="J31" s="110">
        <v>96.815291618343096</v>
      </c>
      <c r="K31" s="110">
        <v>8.6433420000000005</v>
      </c>
      <c r="L31" s="110">
        <v>96.815291618343096</v>
      </c>
      <c r="M31" s="110">
        <v>0.28432000000000002</v>
      </c>
      <c r="N31" s="110">
        <v>3.1847083816569222</v>
      </c>
      <c r="O31" s="110"/>
      <c r="P31" s="110"/>
    </row>
    <row r="32" spans="1:16" ht="18.75" x14ac:dyDescent="0.25">
      <c r="A32" s="116" t="s">
        <v>69</v>
      </c>
      <c r="B32" s="110">
        <v>0.61799999999999999</v>
      </c>
      <c r="C32" s="111"/>
      <c r="D32" s="111"/>
      <c r="E32" s="111"/>
      <c r="F32" s="111"/>
      <c r="G32" s="110">
        <v>0.61799999999999999</v>
      </c>
      <c r="H32" s="110">
        <v>100</v>
      </c>
      <c r="I32" s="112"/>
      <c r="J32" s="110"/>
      <c r="K32" s="110">
        <v>0.61799999999999999</v>
      </c>
      <c r="L32" s="110">
        <v>100</v>
      </c>
      <c r="M32" s="110"/>
      <c r="N32" s="110"/>
      <c r="O32" s="110"/>
      <c r="P32" s="110"/>
    </row>
    <row r="33" spans="1:16" ht="18.75" x14ac:dyDescent="0.25">
      <c r="A33" s="116" t="s">
        <v>50</v>
      </c>
      <c r="B33" s="110">
        <v>264.089</v>
      </c>
      <c r="C33" s="111"/>
      <c r="D33" s="111"/>
      <c r="E33" s="111"/>
      <c r="F33" s="111"/>
      <c r="G33" s="110"/>
      <c r="H33" s="110"/>
      <c r="I33" s="112">
        <v>194.70560499999999</v>
      </c>
      <c r="J33" s="110">
        <v>99.743859813861391</v>
      </c>
      <c r="K33" s="110">
        <v>194.70560499999999</v>
      </c>
      <c r="L33" s="110">
        <v>99.743859813861391</v>
      </c>
      <c r="M33" s="110">
        <v>0.5</v>
      </c>
      <c r="N33" s="110">
        <v>0.25614018613861012</v>
      </c>
      <c r="O33" s="110"/>
      <c r="P33" s="110"/>
    </row>
    <row r="34" spans="1:16" ht="18.75" x14ac:dyDescent="0.25">
      <c r="A34" s="117" t="s">
        <v>53</v>
      </c>
      <c r="B34" s="107">
        <v>91.253900000000002</v>
      </c>
      <c r="C34" s="109">
        <v>0</v>
      </c>
      <c r="D34" s="109">
        <v>0</v>
      </c>
      <c r="E34" s="109">
        <v>0</v>
      </c>
      <c r="F34" s="109">
        <v>0</v>
      </c>
      <c r="G34" s="107">
        <v>29.977900000000002</v>
      </c>
      <c r="H34" s="107">
        <v>38.306645863601922</v>
      </c>
      <c r="I34" s="107">
        <v>42.7712</v>
      </c>
      <c r="J34" s="107">
        <v>54.654302388135612</v>
      </c>
      <c r="K34" s="107">
        <v>72.749099999999999</v>
      </c>
      <c r="L34" s="107">
        <v>92.960948251737534</v>
      </c>
      <c r="M34" s="107">
        <v>5.5086000000000004</v>
      </c>
      <c r="N34" s="107">
        <v>7.0390517482624722</v>
      </c>
      <c r="O34" s="107">
        <v>0</v>
      </c>
      <c r="P34" s="115">
        <v>0</v>
      </c>
    </row>
    <row r="35" spans="1:16" ht="18.75" x14ac:dyDescent="0.25">
      <c r="A35" s="116" t="s">
        <v>56</v>
      </c>
      <c r="B35" s="110">
        <v>41.8489</v>
      </c>
      <c r="C35" s="111">
        <v>0</v>
      </c>
      <c r="D35" s="111">
        <v>0</v>
      </c>
      <c r="E35" s="111">
        <v>0</v>
      </c>
      <c r="F35" s="111">
        <v>0</v>
      </c>
      <c r="G35" s="110">
        <v>3.1278999999999999</v>
      </c>
      <c r="H35" s="110">
        <v>8.9630548718110354</v>
      </c>
      <c r="I35" s="112">
        <v>30.371200000000002</v>
      </c>
      <c r="J35" s="110">
        <v>87.029231152769384</v>
      </c>
      <c r="K35" s="110">
        <v>33.499099999999999</v>
      </c>
      <c r="L35" s="110">
        <v>95.992286024580409</v>
      </c>
      <c r="M35" s="110">
        <v>1.3986000000000001</v>
      </c>
      <c r="N35" s="110">
        <v>4.0077139754195832</v>
      </c>
      <c r="O35" s="110">
        <v>0</v>
      </c>
      <c r="P35" s="110">
        <v>0</v>
      </c>
    </row>
    <row r="36" spans="1:16" ht="18.75" x14ac:dyDescent="0.25">
      <c r="A36" s="116" t="s">
        <v>54</v>
      </c>
      <c r="B36" s="110">
        <v>49.405000000000001</v>
      </c>
      <c r="C36" s="111">
        <v>0</v>
      </c>
      <c r="D36" s="111">
        <v>0</v>
      </c>
      <c r="E36" s="111">
        <v>0</v>
      </c>
      <c r="F36" s="111">
        <v>0</v>
      </c>
      <c r="G36" s="110">
        <v>26.85</v>
      </c>
      <c r="H36" s="110">
        <v>61.923431734317361</v>
      </c>
      <c r="I36" s="112">
        <v>12.4</v>
      </c>
      <c r="J36" s="110">
        <v>28.597785977859786</v>
      </c>
      <c r="K36" s="110">
        <v>39.25</v>
      </c>
      <c r="L36" s="110">
        <v>90.521217712177133</v>
      </c>
      <c r="M36" s="110">
        <v>4.1100000000000003</v>
      </c>
      <c r="N36" s="110">
        <v>9.4787822878228809</v>
      </c>
      <c r="O36" s="110">
        <v>0</v>
      </c>
      <c r="P36" s="110">
        <v>0</v>
      </c>
    </row>
    <row r="37" spans="1:16" ht="18.75" x14ac:dyDescent="0.25">
      <c r="A37" s="116" t="s">
        <v>71</v>
      </c>
      <c r="B37" s="110">
        <v>3.5101619999999998</v>
      </c>
      <c r="C37" s="111"/>
      <c r="D37" s="111"/>
      <c r="E37" s="111"/>
      <c r="F37" s="111"/>
      <c r="G37" s="110"/>
      <c r="H37" s="110"/>
      <c r="I37" s="112"/>
      <c r="J37" s="110"/>
      <c r="K37" s="110">
        <v>0</v>
      </c>
      <c r="L37" s="110">
        <v>0</v>
      </c>
      <c r="M37" s="110">
        <v>0.96160000000000001</v>
      </c>
      <c r="N37" s="110">
        <v>100</v>
      </c>
      <c r="O37" s="110"/>
      <c r="P37" s="110"/>
    </row>
    <row r="38" spans="1:16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6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6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6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6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6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6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6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6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6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6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</row>
    <row r="64" spans="1:14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</row>
    <row r="65" spans="1:14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</row>
    <row r="66" spans="1:14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4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4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4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</row>
    <row r="70" spans="1:14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</row>
    <row r="71" spans="1:14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</row>
    <row r="72" spans="1:14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</row>
    <row r="73" spans="1:14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4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  <row r="76" spans="1:14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</row>
    <row r="77" spans="1:14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</row>
    <row r="78" spans="1:14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</row>
    <row r="79" spans="1:14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14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1:14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</row>
    <row r="82" spans="1:14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</row>
    <row r="83" spans="1:14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</row>
    <row r="84" spans="1:14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</row>
    <row r="85" spans="1:14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</row>
    <row r="86" spans="1:14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</row>
    <row r="87" spans="1:14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</row>
    <row r="88" spans="1:14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</row>
    <row r="89" spans="1:14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</row>
    <row r="90" spans="1:14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</row>
    <row r="91" spans="1:14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</row>
    <row r="92" spans="1:14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</row>
    <row r="93" spans="1:14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</row>
    <row r="94" spans="1:14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</row>
    <row r="95" spans="1:14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</row>
    <row r="96" spans="1:14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</row>
    <row r="97" spans="1:14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</row>
    <row r="98" spans="1:14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</row>
    <row r="99" spans="1:14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</row>
    <row r="100" spans="1:14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</row>
    <row r="101" spans="1:14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</row>
    <row r="102" spans="1:14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</row>
    <row r="103" spans="1:14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</row>
    <row r="104" spans="1:14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</row>
    <row r="105" spans="1:14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</row>
    <row r="106" spans="1:14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</row>
    <row r="107" spans="1:14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</row>
    <row r="108" spans="1:14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</row>
    <row r="109" spans="1:14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</row>
    <row r="110" spans="1:14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</row>
    <row r="111" spans="1:14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</row>
    <row r="112" spans="1:14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</row>
    <row r="113" spans="1:14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</row>
    <row r="114" spans="1:14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</row>
    <row r="115" spans="1:14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</row>
    <row r="116" spans="1:14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</row>
    <row r="117" spans="1:14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</row>
    <row r="118" spans="1:14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</row>
    <row r="119" spans="1:14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</row>
    <row r="120" spans="1:14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</row>
    <row r="121" spans="1:14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</row>
    <row r="122" spans="1:14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</row>
    <row r="123" spans="1:14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</row>
    <row r="124" spans="1:14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</row>
    <row r="125" spans="1:14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</row>
    <row r="126" spans="1:14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</row>
    <row r="127" spans="1:14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</row>
    <row r="128" spans="1:14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</row>
    <row r="129" spans="1:14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</row>
    <row r="130" spans="1:14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</row>
    <row r="131" spans="1:14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</row>
    <row r="132" spans="1:14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</row>
    <row r="133" spans="1:14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</row>
    <row r="134" spans="1:14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</row>
    <row r="135" spans="1:14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</row>
    <row r="136" spans="1:14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</row>
    <row r="137" spans="1:14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</row>
    <row r="138" spans="1:14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</row>
    <row r="139" spans="1:14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</row>
    <row r="140" spans="1:14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</row>
    <row r="141" spans="1:14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</row>
    <row r="142" spans="1:14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</row>
    <row r="143" spans="1:14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</row>
    <row r="144" spans="1:14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</row>
    <row r="145" spans="1:14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</row>
    <row r="146" spans="1:14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</row>
    <row r="147" spans="1:14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</row>
    <row r="148" spans="1:14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</row>
    <row r="149" spans="1:14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</row>
    <row r="150" spans="1:14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</row>
    <row r="151" spans="1:14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</row>
    <row r="152" spans="1:14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</row>
    <row r="153" spans="1:14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</row>
    <row r="154" spans="1:14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</row>
    <row r="155" spans="1:14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</row>
    <row r="156" spans="1:14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</row>
    <row r="157" spans="1:14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</row>
    <row r="158" spans="1:14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</row>
    <row r="159" spans="1:14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</row>
    <row r="160" spans="1:14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</row>
    <row r="161" spans="1:14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</row>
    <row r="162" spans="1:14" x14ac:dyDescent="0.25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</row>
    <row r="163" spans="1:14" x14ac:dyDescent="0.25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</row>
    <row r="164" spans="1:14" x14ac:dyDescent="0.25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</row>
    <row r="165" spans="1:14" x14ac:dyDescent="0.2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</row>
    <row r="166" spans="1:14" x14ac:dyDescent="0.25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</row>
    <row r="167" spans="1:14" x14ac:dyDescent="0.25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</row>
    <row r="168" spans="1:14" x14ac:dyDescent="0.25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</row>
    <row r="169" spans="1:14" x14ac:dyDescent="0.25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</row>
    <row r="170" spans="1:14" x14ac:dyDescent="0.25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</row>
    <row r="171" spans="1:14" x14ac:dyDescent="0.25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14" x14ac:dyDescent="0.25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</row>
    <row r="173" spans="1:14" x14ac:dyDescent="0.25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</row>
    <row r="174" spans="1:14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</row>
    <row r="175" spans="1:14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</row>
    <row r="176" spans="1:14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</row>
    <row r="177" spans="1:14" x14ac:dyDescent="0.2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</row>
    <row r="178" spans="1:14" x14ac:dyDescent="0.2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</row>
    <row r="179" spans="1:14" x14ac:dyDescent="0.2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</row>
    <row r="180" spans="1:14" x14ac:dyDescent="0.2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</row>
    <row r="181" spans="1:14" x14ac:dyDescent="0.2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</row>
    <row r="182" spans="1:14" x14ac:dyDescent="0.2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</row>
    <row r="183" spans="1:14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</row>
    <row r="184" spans="1:14" x14ac:dyDescent="0.2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</row>
    <row r="185" spans="1:14" x14ac:dyDescent="0.2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</row>
    <row r="186" spans="1:14" x14ac:dyDescent="0.2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</row>
    <row r="187" spans="1:14" x14ac:dyDescent="0.2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</row>
    <row r="188" spans="1:14" x14ac:dyDescent="0.2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</row>
    <row r="189" spans="1:14" x14ac:dyDescent="0.2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</row>
    <row r="190" spans="1:14" x14ac:dyDescent="0.2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</row>
    <row r="191" spans="1:14" x14ac:dyDescent="0.2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</row>
    <row r="192" spans="1:14" x14ac:dyDescent="0.2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</row>
    <row r="193" spans="1:14" x14ac:dyDescent="0.2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</row>
    <row r="194" spans="1:14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</row>
    <row r="195" spans="1:14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</row>
    <row r="196" spans="1:14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</row>
    <row r="197" spans="1:14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</row>
    <row r="198" spans="1:14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</row>
    <row r="199" spans="1:14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</row>
    <row r="200" spans="1:14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</row>
    <row r="201" spans="1:14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</row>
    <row r="202" spans="1:14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</row>
    <row r="203" spans="1:14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</row>
    <row r="204" spans="1:14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</row>
    <row r="205" spans="1:14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</row>
    <row r="206" spans="1:14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</row>
    <row r="207" spans="1:14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</row>
    <row r="208" spans="1:14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</row>
    <row r="209" spans="1:14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</row>
    <row r="210" spans="1:14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</row>
    <row r="211" spans="1:14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</row>
    <row r="212" spans="1:14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</row>
    <row r="213" spans="1:14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</row>
    <row r="214" spans="1:14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</row>
    <row r="215" spans="1:14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</row>
    <row r="216" spans="1:14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</row>
    <row r="217" spans="1:14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</row>
    <row r="218" spans="1:14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</row>
    <row r="219" spans="1:14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</row>
    <row r="220" spans="1:14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</row>
    <row r="221" spans="1:14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</row>
    <row r="222" spans="1:14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</row>
    <row r="223" spans="1:14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</row>
    <row r="224" spans="1:14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</row>
    <row r="225" spans="1:14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</row>
    <row r="226" spans="1:14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</row>
    <row r="227" spans="1:14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</row>
    <row r="228" spans="1:14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</row>
    <row r="229" spans="1:14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</row>
    <row r="230" spans="1:14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</row>
    <row r="231" spans="1:14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</row>
    <row r="232" spans="1:14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</row>
    <row r="233" spans="1:14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</row>
    <row r="234" spans="1:14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</row>
    <row r="235" spans="1:14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</row>
    <row r="236" spans="1:14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</row>
    <row r="237" spans="1:14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</row>
    <row r="238" spans="1:14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</row>
    <row r="239" spans="1:14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</row>
    <row r="240" spans="1:14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</row>
    <row r="241" spans="1:14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</row>
    <row r="242" spans="1:14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</row>
    <row r="243" spans="1:14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</row>
    <row r="244" spans="1:14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</row>
    <row r="245" spans="1:14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</row>
    <row r="246" spans="1:14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</row>
    <row r="247" spans="1:14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</row>
    <row r="248" spans="1:14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</row>
    <row r="249" spans="1:14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</row>
    <row r="250" spans="1:14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</row>
    <row r="251" spans="1:14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</row>
    <row r="252" spans="1:14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</row>
    <row r="253" spans="1:14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</row>
    <row r="254" spans="1:14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</row>
    <row r="255" spans="1:14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</row>
    <row r="256" spans="1:14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</row>
    <row r="257" spans="1:14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</row>
    <row r="258" spans="1:14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</row>
    <row r="259" spans="1:14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</row>
    <row r="260" spans="1:14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</row>
    <row r="261" spans="1:14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</row>
    <row r="262" spans="1:14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</row>
    <row r="263" spans="1:14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</row>
    <row r="264" spans="1:14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</row>
    <row r="265" spans="1:14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</row>
    <row r="266" spans="1:14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</row>
    <row r="267" spans="1:14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</row>
    <row r="268" spans="1:14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</row>
    <row r="269" spans="1:14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</row>
    <row r="270" spans="1:14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</row>
    <row r="271" spans="1:14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</row>
    <row r="272" spans="1:14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</row>
    <row r="273" spans="1:14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</row>
    <row r="274" spans="1:14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</row>
    <row r="275" spans="1:14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</row>
    <row r="276" spans="1:14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</row>
    <row r="277" spans="1:14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</row>
    <row r="278" spans="1:14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</row>
    <row r="279" spans="1:14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</row>
    <row r="280" spans="1:14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</row>
    <row r="281" spans="1:14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</row>
    <row r="282" spans="1:14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</row>
    <row r="283" spans="1:14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</row>
    <row r="284" spans="1:14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</row>
    <row r="285" spans="1:14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</row>
    <row r="286" spans="1:14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</row>
    <row r="287" spans="1:14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</row>
    <row r="288" spans="1:14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</row>
    <row r="289" spans="1:14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</row>
    <row r="290" spans="1:14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</row>
    <row r="291" spans="1:14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</row>
    <row r="292" spans="1:14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</row>
    <row r="293" spans="1:14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</row>
    <row r="294" spans="1:14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</row>
    <row r="295" spans="1:14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</row>
    <row r="296" spans="1:14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</row>
    <row r="297" spans="1:14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</row>
    <row r="298" spans="1:14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</row>
    <row r="299" spans="1:14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</row>
    <row r="300" spans="1:14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</row>
    <row r="301" spans="1:14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</row>
    <row r="302" spans="1:14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</row>
    <row r="303" spans="1:14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</row>
    <row r="304" spans="1:14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</row>
    <row r="305" spans="1:14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</row>
    <row r="306" spans="1:14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</row>
    <row r="307" spans="1:14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</row>
    <row r="308" spans="1:14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</row>
    <row r="309" spans="1:14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</row>
    <row r="310" spans="1:14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</row>
    <row r="311" spans="1:14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</row>
    <row r="312" spans="1:14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</row>
    <row r="313" spans="1:14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</row>
    <row r="314" spans="1:14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</row>
    <row r="315" spans="1:14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</row>
    <row r="316" spans="1:14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</row>
    <row r="317" spans="1:14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</row>
    <row r="318" spans="1:14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</row>
    <row r="319" spans="1:14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</row>
    <row r="320" spans="1:14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</row>
    <row r="321" spans="1:14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</row>
    <row r="322" spans="1:14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</row>
    <row r="323" spans="1:14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</row>
    <row r="324" spans="1:14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</row>
    <row r="325" spans="1:14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</row>
    <row r="326" spans="1:14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</row>
    <row r="327" spans="1:14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</row>
    <row r="328" spans="1:14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</row>
    <row r="329" spans="1:14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</row>
    <row r="330" spans="1:14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</row>
    <row r="331" spans="1:14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</row>
    <row r="332" spans="1:14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</row>
    <row r="333" spans="1:14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</row>
    <row r="334" spans="1:14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</row>
    <row r="335" spans="1:14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</row>
    <row r="336" spans="1:14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</row>
    <row r="337" spans="1:14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</row>
    <row r="338" spans="1:14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</row>
    <row r="339" spans="1:14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</row>
    <row r="340" spans="1:14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</row>
    <row r="341" spans="1:14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</row>
    <row r="342" spans="1:14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</row>
    <row r="343" spans="1:14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</row>
    <row r="344" spans="1:14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</row>
    <row r="345" spans="1:14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</row>
    <row r="346" spans="1:14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</row>
    <row r="347" spans="1:14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</row>
    <row r="348" spans="1:14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</row>
    <row r="349" spans="1:14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</row>
    <row r="350" spans="1:14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</row>
    <row r="351" spans="1:14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</row>
    <row r="352" spans="1:14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</row>
    <row r="353" spans="1:14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</row>
    <row r="354" spans="1:14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</row>
    <row r="355" spans="1:14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</row>
    <row r="356" spans="1:14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</row>
    <row r="357" spans="1:14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</row>
    <row r="358" spans="1:14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</row>
    <row r="359" spans="1:14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</row>
    <row r="360" spans="1:14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</row>
    <row r="361" spans="1:14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</row>
    <row r="362" spans="1:14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</row>
    <row r="363" spans="1:14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</row>
    <row r="364" spans="1:14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</row>
    <row r="365" spans="1:14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</row>
    <row r="366" spans="1:14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</row>
    <row r="367" spans="1:14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</row>
    <row r="368" spans="1:14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</row>
    <row r="369" spans="1:14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</row>
    <row r="370" spans="1:14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</row>
    <row r="371" spans="1:14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</row>
    <row r="372" spans="1:14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</row>
    <row r="373" spans="1:14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</row>
    <row r="374" spans="1:14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</row>
    <row r="375" spans="1:14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</row>
    <row r="376" spans="1:14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</row>
    <row r="377" spans="1:14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</row>
    <row r="378" spans="1:14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</row>
    <row r="379" spans="1:14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</row>
    <row r="380" spans="1:14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</row>
    <row r="381" spans="1:14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</row>
    <row r="382" spans="1:14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</row>
    <row r="383" spans="1:14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</row>
    <row r="384" spans="1:14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</row>
    <row r="385" spans="1:14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</row>
    <row r="386" spans="1:14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</row>
    <row r="387" spans="1:14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</row>
    <row r="388" spans="1:14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</row>
    <row r="389" spans="1:14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</row>
    <row r="390" spans="1:14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</row>
    <row r="391" spans="1:14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</row>
    <row r="392" spans="1:14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</row>
    <row r="393" spans="1:14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</row>
    <row r="394" spans="1:14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</row>
    <row r="395" spans="1:14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</row>
    <row r="396" spans="1:14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</row>
    <row r="397" spans="1:14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</row>
    <row r="398" spans="1:14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</row>
    <row r="399" spans="1:14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</row>
    <row r="400" spans="1:14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</row>
    <row r="401" spans="1:14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</row>
    <row r="402" spans="1:14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</row>
    <row r="403" spans="1:14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</row>
    <row r="404" spans="1:14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</row>
    <row r="405" spans="1:14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</row>
    <row r="406" spans="1:14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</row>
    <row r="407" spans="1:14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</row>
    <row r="408" spans="1:14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</row>
    <row r="409" spans="1:14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</row>
    <row r="410" spans="1:14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14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</row>
    <row r="412" spans="1:14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</row>
    <row r="413" spans="1:14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</row>
    <row r="414" spans="1:14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</row>
    <row r="415" spans="1:14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</row>
    <row r="416" spans="1:14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</row>
    <row r="417" spans="1:14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</row>
    <row r="418" spans="1:14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</row>
    <row r="419" spans="1:14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</row>
    <row r="420" spans="1:14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  <c r="N420"/>
    </row>
    <row r="421" spans="1:14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  <c r="N421"/>
    </row>
    <row r="422" spans="1:14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  <c r="N422"/>
    </row>
    <row r="423" spans="1:14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  <c r="N423"/>
    </row>
    <row r="424" spans="1:14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  <c r="N424"/>
    </row>
    <row r="425" spans="1:14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  <c r="N425"/>
    </row>
    <row r="426" spans="1:14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  <c r="N426"/>
    </row>
    <row r="427" spans="1:14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  <c r="N427"/>
    </row>
    <row r="428" spans="1:14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  <c r="N428"/>
    </row>
    <row r="429" spans="1:14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  <c r="N429"/>
    </row>
    <row r="430" spans="1:14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  <c r="N430"/>
    </row>
    <row r="431" spans="1:14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  <c r="N431"/>
    </row>
    <row r="432" spans="1:14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  <c r="N432"/>
    </row>
    <row r="433" spans="1:14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  <c r="N433"/>
    </row>
    <row r="434" spans="1:14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  <c r="N434"/>
    </row>
    <row r="435" spans="1:14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/>
    </row>
    <row r="436" spans="1:14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/>
    </row>
    <row r="437" spans="1:14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  <c r="N437"/>
    </row>
    <row r="438" spans="1:14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  <c r="N438"/>
    </row>
    <row r="439" spans="1:14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  <c r="N439"/>
    </row>
    <row r="440" spans="1:14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  <c r="N440"/>
    </row>
    <row r="441" spans="1:14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  <c r="N441"/>
    </row>
    <row r="442" spans="1:14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  <c r="N442"/>
    </row>
    <row r="443" spans="1:14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  <c r="N443"/>
    </row>
    <row r="444" spans="1:14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  <c r="N444"/>
    </row>
    <row r="445" spans="1:14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  <c r="N445"/>
    </row>
    <row r="446" spans="1:14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  <c r="N446"/>
    </row>
    <row r="447" spans="1:14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  <c r="N447"/>
    </row>
    <row r="448" spans="1:14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  <c r="N448"/>
    </row>
    <row r="449" spans="1:14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  <c r="N449"/>
    </row>
    <row r="450" spans="1:14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  <c r="N450"/>
    </row>
    <row r="451" spans="1:14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  <c r="N451"/>
    </row>
    <row r="452" spans="1:14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  <c r="N452"/>
    </row>
    <row r="453" spans="1:14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  <c r="N453"/>
    </row>
    <row r="454" spans="1:14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  <c r="N454"/>
    </row>
    <row r="455" spans="1:14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  <c r="N455"/>
    </row>
    <row r="456" spans="1:14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  <c r="N456"/>
    </row>
    <row r="457" spans="1:14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  <c r="N457"/>
    </row>
    <row r="458" spans="1:14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  <c r="N458"/>
    </row>
    <row r="459" spans="1:14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  <c r="N459"/>
    </row>
    <row r="460" spans="1:14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  <c r="N460"/>
    </row>
    <row r="461" spans="1:14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  <c r="N461"/>
    </row>
    <row r="462" spans="1:14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  <c r="N462"/>
    </row>
    <row r="463" spans="1:14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  <c r="N463"/>
    </row>
    <row r="464" spans="1:14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  <c r="N464"/>
    </row>
    <row r="465" spans="1:14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  <c r="N465"/>
    </row>
    <row r="466" spans="1:14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  <c r="N466"/>
    </row>
    <row r="467" spans="1:14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  <c r="N467"/>
    </row>
    <row r="468" spans="1:14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  <c r="N468"/>
    </row>
    <row r="469" spans="1:14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  <c r="N469"/>
    </row>
    <row r="470" spans="1:14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  <c r="N470"/>
    </row>
    <row r="471" spans="1:14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  <c r="N471"/>
    </row>
    <row r="472" spans="1:14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  <c r="N472"/>
    </row>
    <row r="473" spans="1:14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  <c r="N473"/>
    </row>
    <row r="474" spans="1:14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  <c r="N474"/>
    </row>
    <row r="475" spans="1:14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  <c r="N475"/>
    </row>
    <row r="476" spans="1:14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  <c r="N476"/>
    </row>
    <row r="477" spans="1:14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  <c r="N477"/>
    </row>
    <row r="478" spans="1:14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  <c r="N478"/>
    </row>
    <row r="479" spans="1:14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  <c r="N479"/>
    </row>
    <row r="480" spans="1:14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  <c r="N480"/>
    </row>
    <row r="481" spans="1:14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  <c r="N481"/>
    </row>
    <row r="482" spans="1:14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  <c r="N482"/>
    </row>
    <row r="483" spans="1:14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  <c r="N483"/>
    </row>
    <row r="484" spans="1:14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  <c r="N484"/>
    </row>
    <row r="485" spans="1:14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  <c r="N485"/>
    </row>
    <row r="486" spans="1:14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  <c r="N486"/>
    </row>
    <row r="487" spans="1:14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  <c r="N487"/>
    </row>
    <row r="488" spans="1:14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  <c r="N488"/>
    </row>
    <row r="489" spans="1:14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  <c r="N489"/>
    </row>
    <row r="490" spans="1:14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  <c r="N490"/>
    </row>
    <row r="491" spans="1:14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  <c r="N491"/>
    </row>
    <row r="492" spans="1:14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  <c r="N492"/>
    </row>
    <row r="493" spans="1:14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  <c r="N493"/>
    </row>
    <row r="494" spans="1:14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  <c r="N494"/>
    </row>
    <row r="495" spans="1:14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  <c r="N495"/>
    </row>
    <row r="496" spans="1:14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  <c r="N496"/>
    </row>
    <row r="497" spans="1:14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  <c r="N497"/>
    </row>
    <row r="498" spans="1:14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  <c r="N498"/>
    </row>
    <row r="499" spans="1:14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  <c r="N499"/>
    </row>
    <row r="500" spans="1:14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</row>
    <row r="501" spans="1:14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  <c r="N501"/>
    </row>
    <row r="502" spans="1:14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  <c r="N502"/>
    </row>
    <row r="503" spans="1:14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</row>
    <row r="504" spans="1:14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  <c r="N504"/>
    </row>
    <row r="505" spans="1:14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  <c r="N505"/>
    </row>
    <row r="506" spans="1:14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  <c r="N506"/>
    </row>
    <row r="507" spans="1:14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  <c r="N507"/>
    </row>
    <row r="508" spans="1:14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  <c r="N508"/>
    </row>
    <row r="509" spans="1:14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  <c r="N509"/>
    </row>
    <row r="510" spans="1:14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</row>
    <row r="511" spans="1:14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</row>
    <row r="512" spans="1:14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</row>
    <row r="513" spans="1:14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</row>
    <row r="514" spans="1:14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</row>
    <row r="515" spans="1:14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</row>
    <row r="516" spans="1:14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</row>
    <row r="517" spans="1:14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</row>
    <row r="518" spans="1:14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</row>
    <row r="519" spans="1:14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</row>
    <row r="520" spans="1:14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</row>
    <row r="521" spans="1:14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</row>
    <row r="522" spans="1:14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</row>
    <row r="523" spans="1:14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  <c r="N523"/>
    </row>
    <row r="524" spans="1:14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  <c r="N524"/>
    </row>
    <row r="525" spans="1:14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  <c r="N525"/>
    </row>
    <row r="526" spans="1:14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  <c r="N526"/>
    </row>
    <row r="527" spans="1:14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  <c r="N527"/>
    </row>
    <row r="528" spans="1:14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  <c r="N528"/>
    </row>
    <row r="529" spans="1:14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  <c r="N529"/>
    </row>
    <row r="530" spans="1:14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  <c r="N530"/>
    </row>
    <row r="531" spans="1:14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</row>
    <row r="532" spans="1:14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</row>
    <row r="533" spans="1:14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/>
    </row>
    <row r="534" spans="1:14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</row>
    <row r="535" spans="1:14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</row>
    <row r="536" spans="1:14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  <c r="N536"/>
    </row>
    <row r="537" spans="1:14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  <c r="N537"/>
    </row>
    <row r="538" spans="1:14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  <c r="N538"/>
    </row>
    <row r="539" spans="1:14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  <c r="N539"/>
    </row>
    <row r="540" spans="1:14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  <c r="N540"/>
    </row>
    <row r="541" spans="1:14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  <c r="N541"/>
    </row>
    <row r="542" spans="1:14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  <c r="N542"/>
    </row>
    <row r="543" spans="1:14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  <c r="N543"/>
    </row>
    <row r="544" spans="1:14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  <c r="N544"/>
    </row>
    <row r="545" spans="1:14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  <c r="N545"/>
    </row>
    <row r="546" spans="1:14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  <c r="N546"/>
    </row>
    <row r="547" spans="1:14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  <c r="N547"/>
    </row>
    <row r="548" spans="1:14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  <c r="N548"/>
    </row>
    <row r="549" spans="1:14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  <c r="N549"/>
    </row>
    <row r="550" spans="1:14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/>
    </row>
    <row r="551" spans="1:14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  <c r="N551"/>
    </row>
    <row r="552" spans="1:14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  <c r="N552"/>
    </row>
    <row r="553" spans="1:14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  <c r="N553"/>
    </row>
    <row r="554" spans="1:14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  <c r="N554"/>
    </row>
    <row r="555" spans="1:14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  <c r="N555"/>
    </row>
    <row r="556" spans="1:14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  <c r="N556"/>
    </row>
    <row r="557" spans="1:14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  <c r="N557"/>
    </row>
    <row r="558" spans="1:14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  <c r="N558"/>
    </row>
    <row r="559" spans="1:14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  <c r="N559"/>
    </row>
    <row r="560" spans="1:14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  <c r="N560"/>
    </row>
    <row r="561" spans="1:14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  <c r="N561"/>
    </row>
    <row r="562" spans="1:14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  <c r="N562"/>
    </row>
    <row r="563" spans="1:14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  <c r="N563"/>
    </row>
    <row r="564" spans="1:14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  <c r="N564"/>
    </row>
    <row r="565" spans="1:14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</row>
    <row r="566" spans="1:14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  <c r="N566"/>
    </row>
    <row r="567" spans="1:14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  <c r="N567"/>
    </row>
    <row r="568" spans="1:14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  <c r="N568"/>
    </row>
    <row r="569" spans="1:14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  <c r="N569"/>
    </row>
    <row r="570" spans="1:14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  <c r="N570"/>
    </row>
    <row r="571" spans="1:14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  <c r="N571"/>
    </row>
    <row r="572" spans="1:14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  <c r="N572"/>
    </row>
    <row r="573" spans="1:14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</row>
    <row r="574" spans="1:14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</row>
    <row r="575" spans="1:14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</row>
    <row r="576" spans="1:14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  <c r="N576"/>
    </row>
    <row r="577" spans="1:14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</row>
    <row r="578" spans="1:14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</row>
    <row r="579" spans="1:14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</row>
    <row r="580" spans="1:14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</row>
    <row r="581" spans="1:14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</row>
    <row r="582" spans="1:14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</row>
    <row r="583" spans="1:14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</row>
    <row r="584" spans="1:14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</row>
    <row r="585" spans="1:14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</row>
    <row r="586" spans="1:14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</row>
    <row r="587" spans="1:14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</row>
    <row r="588" spans="1:14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</row>
    <row r="589" spans="1:14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</row>
    <row r="590" spans="1:14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</row>
    <row r="591" spans="1:14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</row>
    <row r="592" spans="1:14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</row>
    <row r="593" spans="1:14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</row>
    <row r="594" spans="1:14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</row>
    <row r="595" spans="1:14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</row>
    <row r="596" spans="1:14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</row>
    <row r="597" spans="1:14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</row>
    <row r="598" spans="1:14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</row>
    <row r="599" spans="1:14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</row>
    <row r="600" spans="1:14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</row>
    <row r="601" spans="1:14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</row>
    <row r="602" spans="1:14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</row>
    <row r="603" spans="1:14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</row>
    <row r="604" spans="1:14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</row>
    <row r="605" spans="1:14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</row>
    <row r="606" spans="1:14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</row>
    <row r="607" spans="1:14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</row>
    <row r="608" spans="1:14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</row>
    <row r="609" spans="1:14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</row>
    <row r="610" spans="1:14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</row>
    <row r="611" spans="1:14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</row>
    <row r="612" spans="1:14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</row>
    <row r="613" spans="1:14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</row>
    <row r="614" spans="1:14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</row>
    <row r="615" spans="1:14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</row>
    <row r="616" spans="1:14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</row>
    <row r="617" spans="1:14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</row>
    <row r="618" spans="1:14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</row>
    <row r="619" spans="1:14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</row>
    <row r="620" spans="1:14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</row>
    <row r="621" spans="1:14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</row>
    <row r="622" spans="1:14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</row>
    <row r="623" spans="1:14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</row>
    <row r="624" spans="1:14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</row>
    <row r="625" spans="1:14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</row>
    <row r="626" spans="1:14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</row>
    <row r="627" spans="1:14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</row>
    <row r="628" spans="1:14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</row>
    <row r="629" spans="1:14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</row>
    <row r="630" spans="1:14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</row>
    <row r="631" spans="1:14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</row>
    <row r="632" spans="1:14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</row>
    <row r="633" spans="1:14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</row>
    <row r="634" spans="1:14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</row>
    <row r="635" spans="1:14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</row>
    <row r="636" spans="1:14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</row>
    <row r="637" spans="1:14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</row>
    <row r="638" spans="1:14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</row>
    <row r="639" spans="1:14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</row>
    <row r="640" spans="1:14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</row>
    <row r="641" spans="1:14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</row>
    <row r="642" spans="1:14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</row>
    <row r="643" spans="1:14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</row>
    <row r="644" spans="1:14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</row>
    <row r="645" spans="1:14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</row>
    <row r="646" spans="1:14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</row>
    <row r="647" spans="1:14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</row>
    <row r="648" spans="1:14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</row>
    <row r="649" spans="1:14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</row>
    <row r="650" spans="1:14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</row>
    <row r="651" spans="1:14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</row>
    <row r="652" spans="1:14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</row>
    <row r="653" spans="1:14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</row>
    <row r="654" spans="1:14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</row>
    <row r="655" spans="1:14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</row>
    <row r="656" spans="1:14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</row>
    <row r="657" spans="1:14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</row>
    <row r="658" spans="1:14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</row>
    <row r="659" spans="1:14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</row>
    <row r="660" spans="1:14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</row>
    <row r="661" spans="1:14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</row>
    <row r="662" spans="1:14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</row>
    <row r="663" spans="1:14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</row>
    <row r="664" spans="1:14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</row>
    <row r="665" spans="1:14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</row>
    <row r="666" spans="1:14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</row>
    <row r="667" spans="1:14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</row>
    <row r="668" spans="1:14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</row>
    <row r="669" spans="1:14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</row>
    <row r="670" spans="1:14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</row>
    <row r="671" spans="1:14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</row>
    <row r="672" spans="1:14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</row>
    <row r="673" spans="1:14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</row>
    <row r="674" spans="1:14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</row>
    <row r="675" spans="1:14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</row>
    <row r="676" spans="1:14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</row>
    <row r="677" spans="1:14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</row>
    <row r="678" spans="1:14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</row>
    <row r="679" spans="1:14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</row>
    <row r="680" spans="1:14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</row>
    <row r="681" spans="1:14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</row>
    <row r="682" spans="1:14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</row>
    <row r="683" spans="1:14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</row>
    <row r="684" spans="1:14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</row>
    <row r="685" spans="1:14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</row>
    <row r="686" spans="1:14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</row>
    <row r="687" spans="1:14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</row>
    <row r="688" spans="1:14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</row>
    <row r="689" spans="1:14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</row>
    <row r="690" spans="1:14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</row>
    <row r="691" spans="1:14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</row>
    <row r="692" spans="1:14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</row>
    <row r="693" spans="1:14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</row>
    <row r="694" spans="1:14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</row>
    <row r="695" spans="1:14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</row>
    <row r="696" spans="1:14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</row>
    <row r="697" spans="1:14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</row>
    <row r="698" spans="1:14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</row>
    <row r="699" spans="1:14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</row>
    <row r="700" spans="1:14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</row>
    <row r="701" spans="1:14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</row>
    <row r="702" spans="1:14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</row>
    <row r="703" spans="1:14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</row>
    <row r="704" spans="1:14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</row>
    <row r="705" spans="1:14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</row>
    <row r="706" spans="1:14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</row>
    <row r="707" spans="1:14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</row>
    <row r="708" spans="1:14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</row>
    <row r="709" spans="1:14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</row>
    <row r="710" spans="1:14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</row>
    <row r="711" spans="1:14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</row>
    <row r="712" spans="1:14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</row>
    <row r="713" spans="1:14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</row>
    <row r="714" spans="1:14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</row>
    <row r="715" spans="1:14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</row>
    <row r="716" spans="1:14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</row>
    <row r="717" spans="1:14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</row>
    <row r="718" spans="1:14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</row>
    <row r="719" spans="1:14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</row>
    <row r="720" spans="1:14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</row>
    <row r="721" spans="1:14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</row>
    <row r="722" spans="1:14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</row>
    <row r="723" spans="1:14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</row>
    <row r="724" spans="1:14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</row>
    <row r="725" spans="1:14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</row>
    <row r="726" spans="1:14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</row>
    <row r="727" spans="1:14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</row>
    <row r="728" spans="1:14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</row>
    <row r="729" spans="1:14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</row>
    <row r="730" spans="1:14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</row>
    <row r="731" spans="1:14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</row>
    <row r="732" spans="1:14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</row>
    <row r="733" spans="1:14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</row>
    <row r="734" spans="1:14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</row>
    <row r="735" spans="1:14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</row>
    <row r="736" spans="1:14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</row>
    <row r="737" spans="1:14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</row>
    <row r="738" spans="1:14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</row>
    <row r="739" spans="1:14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</row>
    <row r="740" spans="1:14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</row>
    <row r="741" spans="1:14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</row>
    <row r="742" spans="1:14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</row>
    <row r="743" spans="1:14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</row>
    <row r="744" spans="1:14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</row>
    <row r="745" spans="1:14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</row>
    <row r="746" spans="1:14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</row>
    <row r="747" spans="1:14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</row>
    <row r="748" spans="1:14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</row>
    <row r="749" spans="1:14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</row>
    <row r="750" spans="1:14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</row>
    <row r="751" spans="1:14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</row>
    <row r="752" spans="1:14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</row>
    <row r="753" spans="1:14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</row>
    <row r="754" spans="1:14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</row>
    <row r="755" spans="1:14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</row>
    <row r="756" spans="1:14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</row>
    <row r="757" spans="1:14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</row>
    <row r="758" spans="1:14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</row>
    <row r="759" spans="1:14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</row>
    <row r="760" spans="1:14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</row>
    <row r="761" spans="1:14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</row>
    <row r="762" spans="1:14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</row>
    <row r="763" spans="1:14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</row>
    <row r="764" spans="1:14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</row>
    <row r="765" spans="1:14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</row>
    <row r="766" spans="1:14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</row>
    <row r="767" spans="1:14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</row>
    <row r="768" spans="1:14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</row>
    <row r="769" spans="1:14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</row>
    <row r="770" spans="1:14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</row>
    <row r="771" spans="1:14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</row>
    <row r="772" spans="1:14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</row>
    <row r="773" spans="1:14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</row>
    <row r="774" spans="1:14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</row>
    <row r="775" spans="1:14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</row>
    <row r="776" spans="1:14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</row>
    <row r="777" spans="1:14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</row>
    <row r="778" spans="1:14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</row>
    <row r="779" spans="1:14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</row>
    <row r="780" spans="1:14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</row>
    <row r="781" spans="1:14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</row>
    <row r="782" spans="1:14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</row>
    <row r="783" spans="1:14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</row>
    <row r="784" spans="1:14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</row>
    <row r="785" spans="1:14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</row>
    <row r="786" spans="1:14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</row>
    <row r="787" spans="1:14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</row>
    <row r="788" spans="1:14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</row>
    <row r="789" spans="1:14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</row>
    <row r="790" spans="1:14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</row>
    <row r="791" spans="1:14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</row>
    <row r="792" spans="1:14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</row>
    <row r="793" spans="1:14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</row>
    <row r="794" spans="1:14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</row>
    <row r="795" spans="1:14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</row>
    <row r="796" spans="1:14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</row>
    <row r="797" spans="1:14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</row>
    <row r="798" spans="1:14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</row>
    <row r="799" spans="1:14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</row>
    <row r="800" spans="1:14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</row>
    <row r="801" spans="1:14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</row>
    <row r="802" spans="1:14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</row>
    <row r="803" spans="1:14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</row>
    <row r="804" spans="1:14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</row>
    <row r="805" spans="1:14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</row>
    <row r="806" spans="1:14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</row>
    <row r="807" spans="1:14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</row>
    <row r="808" spans="1:14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</row>
    <row r="809" spans="1:14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</row>
    <row r="810" spans="1:14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</row>
    <row r="811" spans="1:14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</row>
    <row r="812" spans="1:14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</row>
    <row r="813" spans="1:14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</row>
    <row r="814" spans="1:14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</row>
    <row r="815" spans="1:14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</row>
    <row r="816" spans="1:14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</row>
    <row r="817" spans="1:14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</row>
    <row r="818" spans="1:14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</row>
    <row r="819" spans="1:14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</row>
    <row r="820" spans="1:14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</row>
    <row r="821" spans="1:14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</row>
    <row r="822" spans="1:14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</row>
    <row r="823" spans="1:14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</row>
    <row r="824" spans="1:14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</row>
    <row r="825" spans="1:14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</row>
    <row r="826" spans="1:14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</row>
    <row r="827" spans="1:14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</row>
    <row r="828" spans="1:14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</row>
    <row r="829" spans="1:14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</row>
    <row r="830" spans="1:14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</row>
    <row r="831" spans="1:14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</row>
    <row r="832" spans="1:14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</row>
    <row r="833" spans="1:14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</row>
    <row r="834" spans="1:14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</row>
    <row r="835" spans="1:14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</row>
    <row r="836" spans="1:14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</row>
    <row r="837" spans="1:14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</row>
    <row r="838" spans="1:14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</row>
    <row r="839" spans="1:14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</row>
    <row r="840" spans="1:14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</row>
    <row r="841" spans="1:14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</row>
    <row r="842" spans="1:14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</row>
    <row r="843" spans="1:14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</row>
    <row r="844" spans="1:14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</row>
    <row r="845" spans="1:14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</row>
    <row r="846" spans="1:14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</row>
    <row r="847" spans="1:14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</row>
    <row r="848" spans="1:14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</row>
    <row r="849" spans="1:14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</row>
    <row r="850" spans="1:14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</row>
    <row r="851" spans="1:14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</row>
    <row r="852" spans="1:14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</row>
    <row r="853" spans="1:14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</row>
    <row r="854" spans="1:14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</row>
    <row r="855" spans="1:14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</row>
    <row r="856" spans="1:14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</row>
    <row r="857" spans="1:14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</row>
    <row r="858" spans="1:14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</row>
    <row r="859" spans="1:14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</row>
    <row r="860" spans="1:14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</row>
    <row r="861" spans="1:14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</row>
    <row r="862" spans="1:14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</row>
    <row r="863" spans="1:14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</row>
    <row r="864" spans="1:14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</row>
    <row r="865" spans="1:14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</row>
    <row r="866" spans="1:14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</row>
    <row r="867" spans="1:14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</row>
    <row r="868" spans="1:14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</row>
    <row r="869" spans="1:14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</row>
    <row r="870" spans="1:14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</row>
    <row r="871" spans="1:14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</row>
    <row r="872" spans="1:14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</row>
    <row r="873" spans="1:14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</row>
    <row r="874" spans="1:14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</row>
    <row r="875" spans="1:14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</row>
    <row r="876" spans="1:14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</row>
    <row r="877" spans="1:14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</row>
    <row r="878" spans="1:14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</row>
    <row r="879" spans="1:14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</row>
    <row r="880" spans="1:14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</row>
    <row r="881" spans="1:14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</row>
    <row r="882" spans="1:14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</row>
    <row r="883" spans="1:14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</row>
    <row r="884" spans="1:14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</row>
    <row r="885" spans="1:14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</row>
    <row r="886" spans="1:14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</row>
    <row r="887" spans="1:14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</row>
    <row r="888" spans="1:14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</row>
    <row r="889" spans="1:14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</row>
    <row r="890" spans="1:14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</row>
    <row r="891" spans="1:14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</row>
    <row r="892" spans="1:14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</row>
    <row r="893" spans="1:14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</row>
    <row r="894" spans="1:14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</row>
    <row r="895" spans="1:14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</row>
    <row r="896" spans="1:14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</row>
    <row r="897" spans="1:14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</row>
    <row r="898" spans="1:14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</row>
    <row r="899" spans="1:14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</row>
    <row r="900" spans="1:14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</row>
    <row r="901" spans="1:14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</row>
    <row r="902" spans="1:14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</row>
    <row r="903" spans="1:14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</row>
    <row r="904" spans="1:14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</row>
    <row r="905" spans="1:14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</row>
    <row r="906" spans="1:14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</row>
    <row r="907" spans="1:14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</row>
    <row r="908" spans="1:14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</row>
    <row r="909" spans="1:14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</row>
    <row r="910" spans="1:14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</row>
    <row r="911" spans="1:14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</row>
    <row r="912" spans="1:14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</row>
    <row r="913" spans="1:14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</row>
    <row r="914" spans="1:14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</row>
    <row r="915" spans="1:14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</row>
    <row r="916" spans="1:14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</row>
    <row r="917" spans="1:14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</row>
    <row r="918" spans="1:14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</row>
    <row r="919" spans="1:14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</row>
    <row r="920" spans="1:14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</row>
    <row r="921" spans="1:14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</row>
    <row r="922" spans="1:14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</row>
    <row r="923" spans="1:14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</row>
    <row r="924" spans="1:14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</row>
    <row r="925" spans="1:14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</row>
    <row r="926" spans="1:14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</row>
    <row r="927" spans="1:14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</row>
    <row r="928" spans="1:14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</row>
    <row r="929" spans="1:14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</row>
    <row r="930" spans="1:14" x14ac:dyDescent="0.25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</row>
    <row r="931" spans="1:14" x14ac:dyDescent="0.25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</row>
  </sheetData>
  <autoFilter ref="A5:DA37" xr:uid="{00000000-0009-0000-0000-000002000000}"/>
  <mergeCells count="11">
    <mergeCell ref="O4:P4"/>
    <mergeCell ref="M4:N4"/>
    <mergeCell ref="K4:L4"/>
    <mergeCell ref="A1:N1"/>
    <mergeCell ref="A2:N2"/>
    <mergeCell ref="A4:A5"/>
    <mergeCell ref="B4:B5"/>
    <mergeCell ref="C4:D4"/>
    <mergeCell ref="E4:F4"/>
    <mergeCell ref="G4:H4"/>
    <mergeCell ref="I4:J4"/>
  </mergeCells>
  <printOptions horizontalCentered="1"/>
  <pageMargins left="0.19685039370078741" right="0.19685039370078741" top="0.19685039370078741" bottom="0.19685039370078741" header="0" footer="0"/>
  <pageSetup paperSize="9" scale="71" fitToHeight="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7">
    <tabColor theme="0" tint="-0.14999847407452621"/>
    <pageSetUpPr fitToPage="1"/>
  </sheetPr>
  <dimension ref="A1:DR1025"/>
  <sheetViews>
    <sheetView showGridLines="0" showZeros="0" view="pageBreakPreview" zoomScaleNormal="100" zoomScaleSheetLayoutView="100" workbookViewId="0">
      <selection activeCell="L24" sqref="L24"/>
    </sheetView>
  </sheetViews>
  <sheetFormatPr defaultRowHeight="15" x14ac:dyDescent="0.25"/>
  <cols>
    <col min="1" max="1" width="40.140625" style="76" customWidth="1"/>
    <col min="2" max="5" width="10.28515625" style="76" customWidth="1"/>
    <col min="6" max="6" width="10.28515625" style="83" customWidth="1"/>
    <col min="7" max="7" width="10.28515625" style="76" customWidth="1"/>
    <col min="8" max="8" width="10.28515625" style="83" customWidth="1"/>
    <col min="9" max="9" width="10.28515625" style="76" customWidth="1"/>
    <col min="10" max="10" width="11.42578125" style="76" customWidth="1"/>
    <col min="11" max="11" width="10.28515625" style="76" customWidth="1"/>
    <col min="12" max="12" width="10.28515625" style="83" customWidth="1"/>
    <col min="13" max="13" width="10.28515625" style="76" customWidth="1"/>
    <col min="14" max="15" width="5.5703125" style="73" bestFit="1" customWidth="1"/>
    <col min="16" max="16" width="8.85546875" style="73" customWidth="1"/>
    <col min="17" max="16384" width="9.140625" style="73"/>
  </cols>
  <sheetData>
    <row r="1" spans="1:122" s="71" customFormat="1" ht="21" x14ac:dyDescent="0.35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</row>
    <row r="2" spans="1:122" s="71" customFormat="1" ht="22.5" x14ac:dyDescent="0.35">
      <c r="A2" s="141" t="str">
        <f>'Пшеница твердая 5 окт'!A2:N2</f>
        <v>по состоянию на 5 октября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</row>
    <row r="3" spans="1:122" x14ac:dyDescent="0.25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</row>
    <row r="4" spans="1:122" ht="30" customHeight="1" x14ac:dyDescent="0.25">
      <c r="A4" s="132" t="s">
        <v>38</v>
      </c>
      <c r="B4" s="132" t="s">
        <v>36</v>
      </c>
      <c r="C4" s="132"/>
      <c r="D4" s="132" t="s">
        <v>6</v>
      </c>
      <c r="E4" s="132"/>
      <c r="F4" s="132" t="s">
        <v>7</v>
      </c>
      <c r="G4" s="132"/>
      <c r="H4" s="132" t="s">
        <v>8</v>
      </c>
      <c r="I4" s="132"/>
      <c r="J4" s="132" t="s">
        <v>37</v>
      </c>
      <c r="K4" s="132"/>
      <c r="L4" s="132" t="s">
        <v>9</v>
      </c>
      <c r="M4" s="132"/>
    </row>
    <row r="5" spans="1:122" ht="79.5" customHeight="1" x14ac:dyDescent="0.25">
      <c r="A5" s="132"/>
      <c r="B5" s="90" t="s">
        <v>43</v>
      </c>
      <c r="C5" s="88" t="s">
        <v>12</v>
      </c>
      <c r="D5" s="90" t="s">
        <v>43</v>
      </c>
      <c r="E5" s="88" t="s">
        <v>29</v>
      </c>
      <c r="F5" s="90" t="s">
        <v>43</v>
      </c>
      <c r="G5" s="88" t="s">
        <v>29</v>
      </c>
      <c r="H5" s="90" t="s">
        <v>43</v>
      </c>
      <c r="I5" s="88" t="s">
        <v>29</v>
      </c>
      <c r="J5" s="90" t="s">
        <v>43</v>
      </c>
      <c r="K5" s="88" t="s">
        <v>29</v>
      </c>
      <c r="L5" s="90" t="s">
        <v>43</v>
      </c>
      <c r="M5" s="88" t="s">
        <v>29</v>
      </c>
    </row>
    <row r="6" spans="1:122" s="77" customFormat="1" ht="18" customHeight="1" x14ac:dyDescent="0.25">
      <c r="A6" s="94" t="str">
        <f>'Пшеница твердая 5 окт'!A6</f>
        <v>Всего</v>
      </c>
      <c r="B6" s="91" t="str">
        <f>IF('Пшеница твердая 5 окт'!D6=0,"",'Пшеница твердая 5 окт'!D6-'Пшеница твердая 5 окт'!#REF!)</f>
        <v/>
      </c>
      <c r="C6" s="92">
        <f>'Пшеница твердая 5 окт'!D6</f>
        <v>0</v>
      </c>
      <c r="D6" s="97" t="e">
        <f>IF('Пшеница твердая 5 окт'!F6=0,"",'Пшеница твердая 5 окт'!F6-'Пшеница твердая 5 окт'!#REF!)</f>
        <v>#REF!</v>
      </c>
      <c r="E6" s="92">
        <f>'Пшеница твердая 5 окт'!F6</f>
        <v>0.20841670785337121</v>
      </c>
      <c r="F6" s="97" t="e">
        <f>IF('Пшеница твердая 5 окт'!H6=0,"",'Пшеница твердая 5 окт'!H6-'Пшеница твердая 5 окт'!#REF!)</f>
        <v>#REF!</v>
      </c>
      <c r="G6" s="92">
        <f>'Пшеница твердая 5 окт'!H6</f>
        <v>22.652378604192329</v>
      </c>
      <c r="H6" s="97" t="e">
        <f>IF('Пшеница твердая 5 окт'!J6=0,"",'Пшеница твердая 5 окт'!J6-'Пшеница твердая 5 окт'!#REF!)</f>
        <v>#REF!</v>
      </c>
      <c r="I6" s="92">
        <f>'Пшеница твердая 5 окт'!J6</f>
        <v>67.91603093420369</v>
      </c>
      <c r="J6" s="97" t="e">
        <f>IF('Пшеница твердая 5 окт'!L6=0,"",'Пшеница твердая 5 окт'!L6-'Пшеница твердая 5 окт'!#REF!)</f>
        <v>#REF!</v>
      </c>
      <c r="K6" s="92">
        <f>'Пшеница твердая 5 окт'!L6</f>
        <v>90.776826246249385</v>
      </c>
      <c r="L6" s="99" t="e">
        <f>IF('Пшеница твердая 5 окт'!N6=0,"",'Пшеница твердая 5 окт'!N6-'Пшеница твердая 5 окт'!#REF!)</f>
        <v>#REF!</v>
      </c>
      <c r="M6" s="92">
        <f>'Пшеница твердая 5 окт'!N6</f>
        <v>9.2092285809944876</v>
      </c>
      <c r="N6" s="73"/>
      <c r="O6" s="73"/>
      <c r="P6" s="74"/>
      <c r="Q6" s="75"/>
      <c r="R6" s="73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</row>
    <row r="7" spans="1:122" s="79" customFormat="1" ht="18" customHeight="1" x14ac:dyDescent="0.25">
      <c r="A7" s="95" t="str">
        <f>'Пшеница твердая 5 окт'!A7</f>
        <v>Южный фед. округ</v>
      </c>
      <c r="B7" s="101" t="str">
        <f>IF('Пшеница твердая 5 окт'!D7=0,"",'Пшеница твердая 5 окт'!D7-'Пшеница твердая 5 окт'!#REF!)</f>
        <v/>
      </c>
      <c r="C7" s="93">
        <f>'Пшеница твердая 5 окт'!D7</f>
        <v>0</v>
      </c>
      <c r="D7" s="98" t="str">
        <f>IF('Пшеница твердая 5 окт'!F7=0,"",'Пшеница твердая 5 окт'!F7-'Пшеница твердая 5 окт'!#REF!)</f>
        <v/>
      </c>
      <c r="E7" s="93">
        <f>'Пшеница твердая 5 окт'!F7</f>
        <v>0</v>
      </c>
      <c r="F7" s="98" t="e">
        <f>IF('Пшеница твердая 5 окт'!H7=0,"",'Пшеница твердая 5 окт'!H7-'Пшеница твердая 5 окт'!#REF!)</f>
        <v>#REF!</v>
      </c>
      <c r="G7" s="93">
        <f>'Пшеница твердая 5 окт'!H7</f>
        <v>16.495127210318547</v>
      </c>
      <c r="H7" s="98" t="e">
        <f>IF('Пшеница твердая 5 окт'!J7=0,"",'Пшеница твердая 5 окт'!J7-'Пшеница твердая 5 окт'!#REF!)</f>
        <v>#REF!</v>
      </c>
      <c r="I7" s="93">
        <f>'Пшеница твердая 5 окт'!J7</f>
        <v>74.669680381651133</v>
      </c>
      <c r="J7" s="98" t="e">
        <f>IF('Пшеница твердая 5 окт'!L7=0,"",'Пшеница твердая 5 окт'!L7-'Пшеница твердая 5 окт'!#REF!)</f>
        <v>#REF!</v>
      </c>
      <c r="K7" s="93">
        <f>'Пшеница твердая 5 окт'!L7</f>
        <v>91.164807591969677</v>
      </c>
      <c r="L7" s="100" t="e">
        <f>IF('Пшеница твердая 5 окт'!N7=0,"",'Пшеница твердая 5 окт'!N7-'Пшеница твердая 5 окт'!#REF!)</f>
        <v>#REF!</v>
      </c>
      <c r="M7" s="93">
        <f>'Пшеница твердая 5 окт'!N7</f>
        <v>8.8351924080303146</v>
      </c>
      <c r="N7" s="73"/>
      <c r="O7" s="73"/>
      <c r="P7" s="74"/>
      <c r="Q7" s="75"/>
      <c r="R7" s="73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78"/>
      <c r="CC7" s="78"/>
      <c r="CD7" s="78"/>
      <c r="CE7" s="78"/>
      <c r="CF7" s="78"/>
      <c r="CG7" s="78"/>
      <c r="CH7" s="78"/>
      <c r="CI7" s="78"/>
      <c r="CJ7" s="78"/>
      <c r="CK7" s="78"/>
      <c r="CL7" s="78"/>
      <c r="CM7" s="78"/>
      <c r="CN7" s="78"/>
      <c r="CO7" s="78"/>
      <c r="CP7" s="78"/>
      <c r="CQ7" s="78"/>
      <c r="CR7" s="78"/>
      <c r="CS7" s="78"/>
      <c r="CT7" s="78"/>
      <c r="CU7" s="78"/>
      <c r="CV7" s="78"/>
      <c r="CW7" s="78"/>
      <c r="CX7" s="78"/>
      <c r="CY7" s="78"/>
      <c r="CZ7" s="78"/>
      <c r="DA7" s="78"/>
      <c r="DB7" s="78"/>
      <c r="DC7" s="78"/>
      <c r="DD7" s="78"/>
      <c r="DE7" s="78"/>
      <c r="DF7" s="78"/>
      <c r="DG7" s="78"/>
      <c r="DH7" s="78"/>
      <c r="DI7" s="78"/>
      <c r="DJ7" s="78"/>
      <c r="DK7" s="78"/>
      <c r="DL7" s="78"/>
      <c r="DM7" s="78"/>
      <c r="DN7" s="78"/>
      <c r="DO7" s="78"/>
      <c r="DP7" s="78"/>
      <c r="DQ7" s="78"/>
      <c r="DR7" s="78"/>
    </row>
    <row r="8" spans="1:122" s="77" customFormat="1" ht="18" customHeight="1" x14ac:dyDescent="0.25">
      <c r="A8" s="96" t="e">
        <f>'Пшеница твердая 5 окт'!#REF!</f>
        <v>#REF!</v>
      </c>
      <c r="B8" s="91" t="e">
        <f>IF('Пшеница твердая 5 окт'!#REF!=0,"",'Пшеница твердая 5 окт'!#REF!-'Пшеница твердая 5 окт'!#REF!)</f>
        <v>#REF!</v>
      </c>
      <c r="C8" s="92" t="e">
        <f>'Пшеница твердая 5 окт'!#REF!</f>
        <v>#REF!</v>
      </c>
      <c r="D8" s="91" t="e">
        <f>IF('Пшеница твердая 5 окт'!#REF!=0,"",'Пшеница твердая 5 окт'!#REF!-'Пшеница твердая 5 окт'!#REF!)</f>
        <v>#REF!</v>
      </c>
      <c r="E8" s="92" t="e">
        <f>'Пшеница твердая 5 окт'!#REF!</f>
        <v>#REF!</v>
      </c>
      <c r="F8" s="91" t="e">
        <f>IF('Пшеница твердая 5 окт'!#REF!=0,"",'Пшеница твердая 5 окт'!#REF!-'Пшеница твердая 5 окт'!#REF!)</f>
        <v>#REF!</v>
      </c>
      <c r="G8" s="92" t="e">
        <f>'Пшеница твердая 5 окт'!#REF!</f>
        <v>#REF!</v>
      </c>
      <c r="H8" s="91" t="e">
        <f>IF('Пшеница твердая 5 окт'!#REF!=0,"",'Пшеница твердая 5 окт'!#REF!-'Пшеница твердая 5 окт'!#REF!)</f>
        <v>#REF!</v>
      </c>
      <c r="I8" s="92" t="e">
        <f>'Пшеница твердая 5 окт'!#REF!</f>
        <v>#REF!</v>
      </c>
      <c r="J8" s="91" t="e">
        <f>IF('Пшеница твердая 5 окт'!#REF!=0,"",'Пшеница твердая 5 окт'!#REF!-'Пшеница твердая 5 окт'!#REF!)</f>
        <v>#REF!</v>
      </c>
      <c r="K8" s="92" t="e">
        <f>'Пшеница твердая 5 окт'!#REF!</f>
        <v>#REF!</v>
      </c>
      <c r="L8" s="91" t="e">
        <f>IF('Пшеница твердая 5 окт'!#REF!=0,"",'Пшеница твердая 5 окт'!#REF!-'Пшеница твердая 5 окт'!#REF!)</f>
        <v>#REF!</v>
      </c>
      <c r="M8" s="92" t="e">
        <f>'Пшеница твердая 5 окт'!#REF!</f>
        <v>#REF!</v>
      </c>
      <c r="N8" s="73"/>
      <c r="O8" s="73"/>
      <c r="P8" s="84" t="s">
        <v>39</v>
      </c>
      <c r="Q8" s="85" t="s">
        <v>40</v>
      </c>
      <c r="R8" s="86" t="s">
        <v>41</v>
      </c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6"/>
      <c r="BJ8" s="76"/>
      <c r="BK8" s="76"/>
      <c r="BL8" s="76"/>
      <c r="BM8" s="76"/>
      <c r="BN8" s="76"/>
      <c r="BO8" s="76"/>
      <c r="BP8" s="76"/>
      <c r="BQ8" s="76"/>
      <c r="BR8" s="76"/>
      <c r="BS8" s="76"/>
      <c r="BT8" s="76"/>
      <c r="BU8" s="76"/>
      <c r="BV8" s="76"/>
      <c r="BW8" s="76"/>
      <c r="BX8" s="76"/>
      <c r="BY8" s="76"/>
      <c r="BZ8" s="76"/>
      <c r="CA8" s="76"/>
      <c r="CB8" s="76"/>
      <c r="CC8" s="76"/>
      <c r="CD8" s="76"/>
      <c r="CE8" s="76"/>
      <c r="CF8" s="76"/>
      <c r="CG8" s="76"/>
      <c r="CH8" s="76"/>
      <c r="CI8" s="76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76"/>
      <c r="CY8" s="76"/>
      <c r="CZ8" s="76"/>
      <c r="DA8" s="76"/>
      <c r="DB8" s="76"/>
      <c r="DC8" s="76"/>
      <c r="DD8" s="76"/>
      <c r="DE8" s="76"/>
      <c r="DF8" s="76"/>
      <c r="DG8" s="76"/>
      <c r="DH8" s="76"/>
      <c r="DI8" s="76"/>
      <c r="DJ8" s="76"/>
      <c r="DK8" s="76"/>
      <c r="DL8" s="76"/>
      <c r="DM8" s="76"/>
      <c r="DN8" s="76"/>
      <c r="DO8" s="76"/>
      <c r="DP8" s="76"/>
      <c r="DQ8" s="76"/>
      <c r="DR8" s="76"/>
    </row>
    <row r="9" spans="1:122" ht="14.1" customHeight="1" x14ac:dyDescent="0.3">
      <c r="A9" s="89"/>
      <c r="B9" s="89"/>
      <c r="C9" s="89"/>
      <c r="D9" s="89"/>
      <c r="E9" s="89"/>
      <c r="F9" s="89"/>
      <c r="G9" s="89"/>
      <c r="H9" s="89"/>
      <c r="I9" s="89"/>
      <c r="J9" s="87"/>
      <c r="K9" s="87"/>
      <c r="L9" s="80"/>
      <c r="M9" s="58"/>
    </row>
    <row r="10" spans="1:122" ht="14.1" customHeight="1" x14ac:dyDescent="0.25">
      <c r="A10" s="102"/>
      <c r="B10" s="102"/>
      <c r="C10" s="102"/>
      <c r="D10" s="102"/>
      <c r="E10" s="102"/>
      <c r="F10" s="102"/>
      <c r="G10" s="102"/>
      <c r="H10" s="102"/>
      <c r="I10" s="102"/>
      <c r="J10" s="102"/>
      <c r="K10" s="102"/>
      <c r="L10" s="102"/>
      <c r="M10" s="102"/>
      <c r="P10" s="103"/>
      <c r="Q10" s="103"/>
      <c r="R10" s="103"/>
    </row>
    <row r="11" spans="1:122" ht="14.1" customHeight="1" x14ac:dyDescent="0.25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P11" s="103"/>
      <c r="Q11" s="103"/>
      <c r="R11" s="103"/>
    </row>
    <row r="12" spans="1:122" ht="14.1" customHeight="1" x14ac:dyDescent="0.25">
      <c r="A12" s="102"/>
      <c r="B12" s="102"/>
      <c r="C12" s="102"/>
      <c r="D12" s="102"/>
      <c r="E12" s="102"/>
      <c r="F12" s="102"/>
      <c r="G12" s="102"/>
      <c r="H12" s="102"/>
      <c r="I12" s="102"/>
      <c r="J12" s="102"/>
      <c r="K12" s="102"/>
      <c r="L12" s="102"/>
      <c r="M12" s="102"/>
      <c r="P12" s="103"/>
      <c r="Q12" s="103"/>
      <c r="R12" s="103"/>
    </row>
    <row r="13" spans="1:122" ht="14.1" customHeight="1" x14ac:dyDescent="0.25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P13" s="103"/>
      <c r="Q13" s="103"/>
      <c r="R13" s="103"/>
    </row>
    <row r="14" spans="1:122" ht="14.1" customHeight="1" x14ac:dyDescent="0.25">
      <c r="A14" s="102"/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P14" s="103"/>
      <c r="Q14" s="103"/>
      <c r="R14" s="103"/>
    </row>
    <row r="15" spans="1:122" ht="14.1" customHeight="1" x14ac:dyDescent="0.25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P15" s="103"/>
      <c r="Q15" s="103"/>
      <c r="R15" s="103"/>
    </row>
    <row r="16" spans="1:122" ht="14.1" customHeight="1" x14ac:dyDescent="0.25">
      <c r="A16" s="102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P16" s="103"/>
      <c r="Q16" s="103"/>
      <c r="R16" s="103"/>
    </row>
    <row r="17" spans="1:18" ht="14.1" customHeight="1" x14ac:dyDescent="0.25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P17" s="103"/>
      <c r="Q17" s="103"/>
      <c r="R17" s="103"/>
    </row>
    <row r="18" spans="1:18" ht="14.1" customHeight="1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 s="74"/>
    </row>
    <row r="19" spans="1:18" ht="14.1" customHeight="1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 s="74"/>
    </row>
    <row r="20" spans="1:18" ht="14.1" customHeight="1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 s="74"/>
    </row>
    <row r="21" spans="1:18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 s="74"/>
    </row>
    <row r="22" spans="1:18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 s="74"/>
    </row>
    <row r="23" spans="1:18" x14ac:dyDescent="0.25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8" x14ac:dyDescent="0.25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8" x14ac:dyDescent="0.25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8" x14ac:dyDescent="0.25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8" x14ac:dyDescent="0.25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8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8" x14ac:dyDescent="0.25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8" x14ac:dyDescent="0.25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8" x14ac:dyDescent="0.25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8" x14ac:dyDescent="0.25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x14ac:dyDescent="0.25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x14ac:dyDescent="0.25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x14ac:dyDescent="0.25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x14ac:dyDescent="0.25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x14ac:dyDescent="0.25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x14ac:dyDescent="0.25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x14ac:dyDescent="0.25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x14ac:dyDescent="0.25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x14ac:dyDescent="0.25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x14ac:dyDescent="0.25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x14ac:dyDescent="0.25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x14ac:dyDescent="0.25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x14ac:dyDescent="0.25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x14ac:dyDescent="0.25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x14ac:dyDescent="0.25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x14ac:dyDescent="0.25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x14ac:dyDescent="0.25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x14ac:dyDescent="0.25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x14ac:dyDescent="0.25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x14ac:dyDescent="0.25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x14ac:dyDescent="0.25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x14ac:dyDescent="0.25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x14ac:dyDescent="0.25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x14ac:dyDescent="0.25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x14ac:dyDescent="0.25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x14ac:dyDescent="0.25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x14ac:dyDescent="0.25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x14ac:dyDescent="0.25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x14ac:dyDescent="0.25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x14ac:dyDescent="0.25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x14ac:dyDescent="0.25">
      <c r="A63"/>
      <c r="B63"/>
      <c r="C63"/>
      <c r="D63"/>
      <c r="E63"/>
      <c r="F63"/>
      <c r="G63"/>
      <c r="H63"/>
      <c r="I63"/>
      <c r="J63"/>
      <c r="K63"/>
      <c r="L63"/>
      <c r="M63"/>
    </row>
    <row r="64" spans="1:13" x14ac:dyDescent="0.25">
      <c r="A64"/>
      <c r="B64"/>
      <c r="C64"/>
      <c r="D64"/>
      <c r="E64"/>
      <c r="F64"/>
      <c r="G64"/>
      <c r="H64"/>
      <c r="I64"/>
      <c r="J64"/>
      <c r="K64"/>
      <c r="L64"/>
      <c r="M64"/>
    </row>
    <row r="65" spans="1:13" x14ac:dyDescent="0.25">
      <c r="A65"/>
      <c r="B65"/>
      <c r="C65"/>
      <c r="D65"/>
      <c r="E65"/>
      <c r="F65"/>
      <c r="G65"/>
      <c r="H65"/>
      <c r="I65"/>
      <c r="J65"/>
      <c r="K65"/>
      <c r="L65"/>
      <c r="M65"/>
    </row>
    <row r="66" spans="1:13" x14ac:dyDescent="0.25">
      <c r="A66"/>
      <c r="B66"/>
      <c r="C66"/>
      <c r="D66"/>
      <c r="E66"/>
      <c r="F66"/>
      <c r="G66"/>
      <c r="H66"/>
      <c r="I66"/>
      <c r="J66"/>
      <c r="K66"/>
      <c r="L66"/>
      <c r="M66"/>
    </row>
    <row r="67" spans="1:13" x14ac:dyDescent="0.25">
      <c r="A67"/>
      <c r="B67"/>
      <c r="C67"/>
      <c r="D67"/>
      <c r="E67"/>
      <c r="F67"/>
      <c r="G67"/>
      <c r="H67"/>
      <c r="I67"/>
      <c r="J67"/>
      <c r="K67"/>
      <c r="L67"/>
      <c r="M67"/>
    </row>
    <row r="68" spans="1:13" x14ac:dyDescent="0.25">
      <c r="A68"/>
      <c r="B68"/>
      <c r="C68"/>
      <c r="D68"/>
      <c r="E68"/>
      <c r="F68"/>
      <c r="G68"/>
      <c r="H68"/>
      <c r="I68"/>
      <c r="J68"/>
      <c r="K68"/>
      <c r="L68"/>
      <c r="M68"/>
    </row>
    <row r="69" spans="1:13" x14ac:dyDescent="0.25">
      <c r="A69"/>
      <c r="B69"/>
      <c r="C69"/>
      <c r="D69"/>
      <c r="E69"/>
      <c r="F69"/>
      <c r="G69"/>
      <c r="H69"/>
      <c r="I69"/>
      <c r="J69"/>
      <c r="K69"/>
      <c r="L69"/>
      <c r="M69"/>
    </row>
    <row r="70" spans="1:13" x14ac:dyDescent="0.25">
      <c r="A70"/>
      <c r="B70"/>
      <c r="C70"/>
      <c r="D70"/>
      <c r="E70"/>
      <c r="F70"/>
      <c r="G70"/>
      <c r="H70"/>
      <c r="I70"/>
      <c r="J70"/>
      <c r="K70"/>
      <c r="L70"/>
      <c r="M70"/>
    </row>
    <row r="71" spans="1:13" x14ac:dyDescent="0.25">
      <c r="A71"/>
      <c r="B71"/>
      <c r="C71"/>
      <c r="D71"/>
      <c r="E71"/>
      <c r="F71"/>
      <c r="G71"/>
      <c r="H71"/>
      <c r="I71"/>
      <c r="J71"/>
      <c r="K71"/>
      <c r="L71"/>
      <c r="M71"/>
    </row>
    <row r="72" spans="1:13" x14ac:dyDescent="0.25">
      <c r="A72"/>
      <c r="B72"/>
      <c r="C72"/>
      <c r="D72"/>
      <c r="E72"/>
      <c r="F72"/>
      <c r="G72"/>
      <c r="H72"/>
      <c r="I72"/>
      <c r="J72"/>
      <c r="K72"/>
      <c r="L72"/>
      <c r="M72"/>
    </row>
    <row r="73" spans="1:13" x14ac:dyDescent="0.25">
      <c r="A73"/>
      <c r="B73"/>
      <c r="C73"/>
      <c r="D73"/>
      <c r="E73"/>
      <c r="F73"/>
      <c r="G73"/>
      <c r="H73"/>
      <c r="I73"/>
      <c r="J73"/>
      <c r="K73"/>
      <c r="L73"/>
      <c r="M73"/>
    </row>
    <row r="74" spans="1:13" x14ac:dyDescent="0.25">
      <c r="A74"/>
      <c r="B74"/>
      <c r="C74"/>
      <c r="D74"/>
      <c r="E74"/>
      <c r="F74"/>
      <c r="G74"/>
      <c r="H74"/>
      <c r="I74"/>
      <c r="J74"/>
      <c r="K74"/>
      <c r="L74"/>
      <c r="M74"/>
    </row>
    <row r="75" spans="1:13" x14ac:dyDescent="0.25">
      <c r="A75"/>
      <c r="B75"/>
      <c r="C75"/>
      <c r="D75"/>
      <c r="E75"/>
      <c r="F75"/>
      <c r="G75"/>
      <c r="H75"/>
      <c r="I75"/>
      <c r="J75"/>
      <c r="K75"/>
      <c r="L75"/>
      <c r="M75"/>
    </row>
    <row r="76" spans="1:13" x14ac:dyDescent="0.25">
      <c r="A76"/>
      <c r="B76"/>
      <c r="C76"/>
      <c r="D76"/>
      <c r="E76"/>
      <c r="F76"/>
      <c r="G76"/>
      <c r="H76"/>
      <c r="I76"/>
      <c r="J76"/>
      <c r="K76"/>
      <c r="L76"/>
      <c r="M76"/>
    </row>
    <row r="77" spans="1:13" x14ac:dyDescent="0.25">
      <c r="A77"/>
      <c r="B77"/>
      <c r="C77"/>
      <c r="D77"/>
      <c r="E77"/>
      <c r="F77"/>
      <c r="G77"/>
      <c r="H77"/>
      <c r="I77"/>
      <c r="J77"/>
      <c r="K77"/>
      <c r="L77"/>
      <c r="M77"/>
    </row>
    <row r="78" spans="1:13" x14ac:dyDescent="0.25">
      <c r="A78"/>
      <c r="B78"/>
      <c r="C78"/>
      <c r="D78"/>
      <c r="E78"/>
      <c r="F78"/>
      <c r="G78"/>
      <c r="H78"/>
      <c r="I78"/>
      <c r="J78"/>
      <c r="K78"/>
      <c r="L78"/>
      <c r="M78"/>
    </row>
    <row r="79" spans="1:13" x14ac:dyDescent="0.25">
      <c r="A79"/>
      <c r="B79"/>
      <c r="C79"/>
      <c r="D79"/>
      <c r="E79"/>
      <c r="F79"/>
      <c r="G79"/>
      <c r="H79"/>
      <c r="I79"/>
      <c r="J79"/>
      <c r="K79"/>
      <c r="L79"/>
      <c r="M79"/>
    </row>
    <row r="80" spans="1:13" x14ac:dyDescent="0.25">
      <c r="A80"/>
      <c r="B80"/>
      <c r="C80"/>
      <c r="D80"/>
      <c r="E80"/>
      <c r="F80"/>
      <c r="G80"/>
      <c r="H80"/>
      <c r="I80"/>
      <c r="J80"/>
      <c r="K80"/>
      <c r="L80"/>
      <c r="M80"/>
    </row>
    <row r="81" spans="1:13" x14ac:dyDescent="0.25">
      <c r="A81"/>
      <c r="B81"/>
      <c r="C81"/>
      <c r="D81"/>
      <c r="E81"/>
      <c r="F81"/>
      <c r="G81"/>
      <c r="H81"/>
      <c r="I81"/>
      <c r="J81"/>
      <c r="K81"/>
      <c r="L81"/>
      <c r="M81"/>
    </row>
    <row r="82" spans="1:13" x14ac:dyDescent="0.25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13" x14ac:dyDescent="0.25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13" x14ac:dyDescent="0.25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13" x14ac:dyDescent="0.25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13" x14ac:dyDescent="0.25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13" x14ac:dyDescent="0.25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13" x14ac:dyDescent="0.25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13" x14ac:dyDescent="0.25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13" x14ac:dyDescent="0.25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13" x14ac:dyDescent="0.25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13" x14ac:dyDescent="0.25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13" x14ac:dyDescent="0.25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13" x14ac:dyDescent="0.25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13" x14ac:dyDescent="0.25">
      <c r="A95"/>
      <c r="B95"/>
      <c r="C95"/>
      <c r="D95"/>
      <c r="E95"/>
      <c r="F95"/>
      <c r="G95"/>
      <c r="H95"/>
      <c r="I95"/>
      <c r="J95"/>
      <c r="K95"/>
      <c r="L95"/>
      <c r="M95"/>
    </row>
    <row r="96" spans="1:13" x14ac:dyDescent="0.25">
      <c r="A96"/>
      <c r="B96"/>
      <c r="C96"/>
      <c r="D96"/>
      <c r="E96"/>
      <c r="F96"/>
      <c r="G96"/>
      <c r="H96"/>
      <c r="I96"/>
      <c r="J96"/>
      <c r="K96"/>
      <c r="L96"/>
      <c r="M96"/>
    </row>
    <row r="97" spans="1:13" x14ac:dyDescent="0.25">
      <c r="A97"/>
      <c r="B97"/>
      <c r="C97"/>
      <c r="D97"/>
      <c r="E97"/>
      <c r="F97"/>
      <c r="G97"/>
      <c r="H97"/>
      <c r="I97"/>
      <c r="J97"/>
      <c r="K97"/>
      <c r="L97"/>
      <c r="M97"/>
    </row>
    <row r="98" spans="1:13" x14ac:dyDescent="0.25">
      <c r="A98"/>
      <c r="B98"/>
      <c r="C98"/>
      <c r="D98"/>
      <c r="E98"/>
      <c r="F98"/>
      <c r="G98"/>
      <c r="H98"/>
      <c r="I98"/>
      <c r="J98"/>
      <c r="K98"/>
      <c r="L98"/>
      <c r="M98"/>
    </row>
    <row r="99" spans="1:13" x14ac:dyDescent="0.25">
      <c r="A99"/>
      <c r="B99"/>
      <c r="C99"/>
      <c r="D99"/>
      <c r="E99"/>
      <c r="F99"/>
      <c r="G99"/>
      <c r="H99"/>
      <c r="I99"/>
      <c r="J99"/>
      <c r="K99"/>
      <c r="L99"/>
      <c r="M99"/>
    </row>
    <row r="100" spans="1:13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</row>
    <row r="101" spans="1:13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</row>
    <row r="102" spans="1:13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</row>
    <row r="103" spans="1:13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</row>
    <row r="104" spans="1:13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</row>
    <row r="105" spans="1:13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/>
    </row>
    <row r="106" spans="1:13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/>
    </row>
    <row r="107" spans="1:13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/>
    </row>
    <row r="108" spans="1:13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/>
    </row>
    <row r="109" spans="1:13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/>
    </row>
    <row r="110" spans="1:13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/>
    </row>
    <row r="111" spans="1:13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/>
    </row>
    <row r="112" spans="1:13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/>
    </row>
    <row r="113" spans="1:13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</row>
    <row r="114" spans="1:13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</row>
    <row r="115" spans="1:13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</row>
    <row r="116" spans="1:13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</row>
    <row r="117" spans="1:13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</row>
    <row r="118" spans="1:13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</row>
    <row r="119" spans="1:13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</row>
    <row r="120" spans="1:13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</row>
    <row r="121" spans="1:13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</row>
    <row r="122" spans="1:13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</row>
    <row r="123" spans="1:13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</row>
    <row r="124" spans="1:13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</row>
    <row r="125" spans="1:13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</row>
    <row r="126" spans="1:13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</row>
    <row r="127" spans="1:13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</row>
    <row r="128" spans="1:13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</row>
    <row r="129" spans="1:13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/>
    </row>
    <row r="130" spans="1:13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/>
    </row>
    <row r="131" spans="1:13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/>
    </row>
    <row r="132" spans="1:13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/>
    </row>
    <row r="133" spans="1:13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/>
    </row>
    <row r="134" spans="1:13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/>
    </row>
    <row r="135" spans="1:13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/>
    </row>
    <row r="136" spans="1:13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/>
    </row>
    <row r="137" spans="1:13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/>
    </row>
    <row r="138" spans="1:13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/>
    </row>
    <row r="139" spans="1:13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/>
    </row>
    <row r="140" spans="1:13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/>
    </row>
    <row r="141" spans="1:13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/>
    </row>
    <row r="142" spans="1:13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/>
    </row>
    <row r="143" spans="1:13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/>
    </row>
    <row r="144" spans="1:13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</row>
    <row r="145" spans="1:13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/>
    </row>
    <row r="146" spans="1:13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/>
    </row>
    <row r="147" spans="1:13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/>
    </row>
    <row r="148" spans="1:13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/>
    </row>
    <row r="149" spans="1:13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/>
    </row>
    <row r="150" spans="1:13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/>
    </row>
    <row r="151" spans="1:13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/>
    </row>
    <row r="152" spans="1:13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/>
    </row>
    <row r="153" spans="1:13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/>
    </row>
    <row r="154" spans="1:13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/>
    </row>
    <row r="155" spans="1:13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/>
    </row>
    <row r="156" spans="1:13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/>
    </row>
    <row r="157" spans="1:13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/>
    </row>
    <row r="158" spans="1:13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/>
    </row>
    <row r="159" spans="1:13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/>
    </row>
    <row r="160" spans="1:13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/>
    </row>
    <row r="161" spans="1:13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/>
    </row>
    <row r="162" spans="1:13" x14ac:dyDescent="0.25">
      <c r="A162"/>
      <c r="B162"/>
      <c r="C162"/>
      <c r="D162"/>
      <c r="E162"/>
      <c r="F162"/>
      <c r="G162"/>
      <c r="H162"/>
      <c r="I162"/>
      <c r="J162"/>
      <c r="K162"/>
      <c r="L162"/>
      <c r="M162"/>
    </row>
    <row r="163" spans="1:13" x14ac:dyDescent="0.25">
      <c r="A163"/>
      <c r="B163"/>
      <c r="C163"/>
      <c r="D163"/>
      <c r="E163"/>
      <c r="F163"/>
      <c r="G163"/>
      <c r="H163"/>
      <c r="I163"/>
      <c r="J163"/>
      <c r="K163"/>
      <c r="L163"/>
      <c r="M163"/>
    </row>
    <row r="164" spans="1:13" x14ac:dyDescent="0.25">
      <c r="A164"/>
      <c r="B164"/>
      <c r="C164"/>
      <c r="D164"/>
      <c r="E164"/>
      <c r="F164"/>
      <c r="G164"/>
      <c r="H164"/>
      <c r="I164"/>
      <c r="J164"/>
      <c r="K164"/>
      <c r="L164"/>
      <c r="M164"/>
    </row>
    <row r="165" spans="1:13" x14ac:dyDescent="0.25">
      <c r="A165"/>
      <c r="B165"/>
      <c r="C165"/>
      <c r="D165"/>
      <c r="E165"/>
      <c r="F165"/>
      <c r="G165"/>
      <c r="H165"/>
      <c r="I165"/>
      <c r="J165"/>
      <c r="K165"/>
      <c r="L165"/>
      <c r="M165"/>
    </row>
    <row r="166" spans="1:13" x14ac:dyDescent="0.25">
      <c r="A166"/>
      <c r="B166"/>
      <c r="C166"/>
      <c r="D166"/>
      <c r="E166"/>
      <c r="F166"/>
      <c r="G166"/>
      <c r="H166"/>
      <c r="I166"/>
      <c r="J166"/>
      <c r="K166"/>
      <c r="L166"/>
      <c r="M166"/>
    </row>
    <row r="167" spans="1:13" x14ac:dyDescent="0.25">
      <c r="A167"/>
      <c r="B167"/>
      <c r="C167"/>
      <c r="D167"/>
      <c r="E167"/>
      <c r="F167"/>
      <c r="G167"/>
      <c r="H167"/>
      <c r="I167"/>
      <c r="J167"/>
      <c r="K167"/>
      <c r="L167"/>
      <c r="M167"/>
    </row>
    <row r="168" spans="1:13" x14ac:dyDescent="0.25">
      <c r="A168"/>
      <c r="B168"/>
      <c r="C168"/>
      <c r="D168"/>
      <c r="E168"/>
      <c r="F168"/>
      <c r="G168"/>
      <c r="H168"/>
      <c r="I168"/>
      <c r="J168"/>
      <c r="K168"/>
      <c r="L168"/>
      <c r="M168"/>
    </row>
    <row r="169" spans="1:13" x14ac:dyDescent="0.25">
      <c r="A169"/>
      <c r="B169"/>
      <c r="C169"/>
      <c r="D169"/>
      <c r="E169"/>
      <c r="F169"/>
      <c r="G169"/>
      <c r="H169"/>
      <c r="I169"/>
      <c r="J169"/>
      <c r="K169"/>
      <c r="L169"/>
      <c r="M169"/>
    </row>
    <row r="170" spans="1:13" x14ac:dyDescent="0.25">
      <c r="A170"/>
      <c r="B170"/>
      <c r="C170"/>
      <c r="D170"/>
      <c r="E170"/>
      <c r="F170"/>
      <c r="G170"/>
      <c r="H170"/>
      <c r="I170"/>
      <c r="J170"/>
      <c r="K170"/>
      <c r="L170"/>
      <c r="M170"/>
    </row>
    <row r="171" spans="1:13" x14ac:dyDescent="0.25">
      <c r="A171"/>
      <c r="B171"/>
      <c r="C171"/>
      <c r="D171"/>
      <c r="E171"/>
      <c r="F171"/>
      <c r="G171"/>
      <c r="H171"/>
      <c r="I171"/>
      <c r="J171"/>
      <c r="K171"/>
      <c r="L171"/>
      <c r="M171"/>
    </row>
    <row r="172" spans="1:13" x14ac:dyDescent="0.25">
      <c r="A172"/>
      <c r="B172"/>
      <c r="C172"/>
      <c r="D172"/>
      <c r="E172"/>
      <c r="F172"/>
      <c r="G172"/>
      <c r="H172"/>
      <c r="I172"/>
      <c r="J172"/>
      <c r="K172"/>
      <c r="L172"/>
      <c r="M172"/>
    </row>
    <row r="173" spans="1:13" x14ac:dyDescent="0.25">
      <c r="A173"/>
      <c r="B173"/>
      <c r="C173"/>
      <c r="D173"/>
      <c r="E173"/>
      <c r="F173"/>
      <c r="G173"/>
      <c r="H173"/>
      <c r="I173"/>
      <c r="J173"/>
      <c r="K173"/>
      <c r="L173"/>
      <c r="M173"/>
    </row>
    <row r="174" spans="1:13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</row>
    <row r="175" spans="1:13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</row>
    <row r="176" spans="1:13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</row>
    <row r="177" spans="1:13" x14ac:dyDescent="0.25">
      <c r="A177"/>
      <c r="B177"/>
      <c r="C177"/>
      <c r="D177"/>
      <c r="E177"/>
      <c r="F177"/>
      <c r="G177"/>
      <c r="H177"/>
      <c r="I177"/>
      <c r="J177"/>
      <c r="K177"/>
      <c r="L177"/>
      <c r="M177"/>
    </row>
    <row r="178" spans="1:13" x14ac:dyDescent="0.25">
      <c r="A178"/>
      <c r="B178"/>
      <c r="C178"/>
      <c r="D178"/>
      <c r="E178"/>
      <c r="F178"/>
      <c r="G178"/>
      <c r="H178"/>
      <c r="I178"/>
      <c r="J178"/>
      <c r="K178"/>
      <c r="L178"/>
      <c r="M178"/>
    </row>
    <row r="179" spans="1:13" x14ac:dyDescent="0.25">
      <c r="A179"/>
      <c r="B179"/>
      <c r="C179"/>
      <c r="D179"/>
      <c r="E179"/>
      <c r="F179"/>
      <c r="G179"/>
      <c r="H179"/>
      <c r="I179"/>
      <c r="J179"/>
      <c r="K179"/>
      <c r="L179"/>
      <c r="M179"/>
    </row>
    <row r="180" spans="1:13" x14ac:dyDescent="0.25">
      <c r="A180"/>
      <c r="B180"/>
      <c r="C180"/>
      <c r="D180"/>
      <c r="E180"/>
      <c r="F180"/>
      <c r="G180"/>
      <c r="H180"/>
      <c r="I180"/>
      <c r="J180"/>
      <c r="K180"/>
      <c r="L180"/>
      <c r="M180"/>
    </row>
    <row r="181" spans="1:13" x14ac:dyDescent="0.25">
      <c r="A181"/>
      <c r="B181"/>
      <c r="C181"/>
      <c r="D181"/>
      <c r="E181"/>
      <c r="F181"/>
      <c r="G181"/>
      <c r="H181"/>
      <c r="I181"/>
      <c r="J181"/>
      <c r="K181"/>
      <c r="L181"/>
      <c r="M181"/>
    </row>
    <row r="182" spans="1:13" x14ac:dyDescent="0.25">
      <c r="A182"/>
      <c r="B182"/>
      <c r="C182"/>
      <c r="D182"/>
      <c r="E182"/>
      <c r="F182"/>
      <c r="G182"/>
      <c r="H182"/>
      <c r="I182"/>
      <c r="J182"/>
      <c r="K182"/>
      <c r="L182"/>
      <c r="M182"/>
    </row>
    <row r="183" spans="1:13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</row>
    <row r="184" spans="1:13" x14ac:dyDescent="0.25">
      <c r="A184"/>
      <c r="B184"/>
      <c r="C184"/>
      <c r="D184"/>
      <c r="E184"/>
      <c r="F184"/>
      <c r="G184"/>
      <c r="H184"/>
      <c r="I184"/>
      <c r="J184"/>
      <c r="K184"/>
      <c r="L184"/>
      <c r="M184"/>
    </row>
    <row r="185" spans="1:13" x14ac:dyDescent="0.25">
      <c r="A185"/>
      <c r="B185"/>
      <c r="C185"/>
      <c r="D185"/>
      <c r="E185"/>
      <c r="F185"/>
      <c r="G185"/>
      <c r="H185"/>
      <c r="I185"/>
      <c r="J185"/>
      <c r="K185"/>
      <c r="L185"/>
      <c r="M185"/>
    </row>
    <row r="186" spans="1:13" x14ac:dyDescent="0.25">
      <c r="A186"/>
      <c r="B186"/>
      <c r="C186"/>
      <c r="D186"/>
      <c r="E186"/>
      <c r="F186"/>
      <c r="G186"/>
      <c r="H186"/>
      <c r="I186"/>
      <c r="J186"/>
      <c r="K186"/>
      <c r="L186"/>
      <c r="M186"/>
    </row>
    <row r="187" spans="1:13" x14ac:dyDescent="0.25">
      <c r="A187"/>
      <c r="B187"/>
      <c r="C187"/>
      <c r="D187"/>
      <c r="E187"/>
      <c r="F187"/>
      <c r="G187"/>
      <c r="H187"/>
      <c r="I187"/>
      <c r="J187"/>
      <c r="K187"/>
      <c r="L187"/>
      <c r="M187"/>
    </row>
    <row r="188" spans="1:13" x14ac:dyDescent="0.25">
      <c r="A188"/>
      <c r="B188"/>
      <c r="C188"/>
      <c r="D188"/>
      <c r="E188"/>
      <c r="F188"/>
      <c r="G188"/>
      <c r="H188"/>
      <c r="I188"/>
      <c r="J188"/>
      <c r="K188"/>
      <c r="L188"/>
      <c r="M188"/>
    </row>
    <row r="189" spans="1:13" x14ac:dyDescent="0.25">
      <c r="A189"/>
      <c r="B189"/>
      <c r="C189"/>
      <c r="D189"/>
      <c r="E189"/>
      <c r="F189"/>
      <c r="G189"/>
      <c r="H189"/>
      <c r="I189"/>
      <c r="J189"/>
      <c r="K189"/>
      <c r="L189"/>
      <c r="M189"/>
    </row>
    <row r="190" spans="1:13" x14ac:dyDescent="0.25">
      <c r="A190"/>
      <c r="B190"/>
      <c r="C190"/>
      <c r="D190"/>
      <c r="E190"/>
      <c r="F190"/>
      <c r="G190"/>
      <c r="H190"/>
      <c r="I190"/>
      <c r="J190"/>
      <c r="K190"/>
      <c r="L190"/>
      <c r="M190"/>
    </row>
    <row r="191" spans="1:13" x14ac:dyDescent="0.25">
      <c r="A191"/>
      <c r="B191"/>
      <c r="C191"/>
      <c r="D191"/>
      <c r="E191"/>
      <c r="F191"/>
      <c r="G191"/>
      <c r="H191"/>
      <c r="I191"/>
      <c r="J191"/>
      <c r="K191"/>
      <c r="L191"/>
      <c r="M191"/>
    </row>
    <row r="192" spans="1:13" x14ac:dyDescent="0.25">
      <c r="A192"/>
      <c r="B192"/>
      <c r="C192"/>
      <c r="D192"/>
      <c r="E192"/>
      <c r="F192"/>
      <c r="G192"/>
      <c r="H192"/>
      <c r="I192"/>
      <c r="J192"/>
      <c r="K192"/>
      <c r="L192"/>
      <c r="M192"/>
    </row>
    <row r="193" spans="1:13" x14ac:dyDescent="0.25">
      <c r="A193"/>
      <c r="B193"/>
      <c r="C193"/>
      <c r="D193"/>
      <c r="E193"/>
      <c r="F193"/>
      <c r="G193"/>
      <c r="H193"/>
      <c r="I193"/>
      <c r="J193"/>
      <c r="K193"/>
      <c r="L193"/>
      <c r="M193"/>
    </row>
    <row r="194" spans="1:13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</row>
    <row r="195" spans="1:13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</row>
    <row r="196" spans="1:13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</row>
    <row r="197" spans="1:13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</row>
    <row r="198" spans="1:13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</row>
    <row r="199" spans="1:13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</row>
    <row r="200" spans="1:13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</row>
    <row r="201" spans="1:13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</row>
    <row r="202" spans="1:13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</row>
    <row r="203" spans="1:13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</row>
    <row r="204" spans="1:13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</row>
    <row r="205" spans="1:13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</row>
    <row r="206" spans="1:13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</row>
    <row r="207" spans="1:13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</row>
    <row r="208" spans="1:13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</row>
    <row r="209" spans="1:13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</row>
    <row r="210" spans="1:13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</row>
    <row r="211" spans="1:13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</row>
    <row r="212" spans="1:13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</row>
    <row r="213" spans="1:13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</row>
    <row r="214" spans="1:13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</row>
    <row r="215" spans="1:13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</row>
    <row r="216" spans="1:13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</row>
    <row r="217" spans="1:13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</row>
    <row r="218" spans="1:13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</row>
    <row r="219" spans="1:13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</row>
    <row r="220" spans="1:13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</row>
    <row r="221" spans="1:13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</row>
    <row r="222" spans="1:13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</row>
    <row r="223" spans="1:13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</row>
    <row r="224" spans="1:13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</row>
    <row r="225" spans="1:13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</row>
    <row r="226" spans="1:13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</row>
    <row r="227" spans="1:13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</row>
    <row r="228" spans="1:13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</row>
    <row r="229" spans="1:13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</row>
    <row r="230" spans="1:13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</row>
    <row r="231" spans="1:13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</row>
    <row r="232" spans="1:13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</row>
    <row r="233" spans="1:13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</row>
    <row r="234" spans="1:13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</row>
    <row r="235" spans="1:13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</row>
    <row r="236" spans="1:13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</row>
    <row r="237" spans="1:13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</row>
    <row r="238" spans="1:13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</row>
    <row r="239" spans="1:13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</row>
    <row r="240" spans="1:13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</row>
    <row r="241" spans="1:13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</row>
    <row r="242" spans="1:13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</row>
    <row r="243" spans="1:13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</row>
    <row r="244" spans="1:13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</row>
    <row r="245" spans="1:13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</row>
    <row r="246" spans="1:13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</row>
    <row r="247" spans="1:13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</row>
    <row r="248" spans="1:13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</row>
    <row r="249" spans="1:13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</row>
    <row r="250" spans="1:13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</row>
    <row r="251" spans="1:13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</row>
    <row r="252" spans="1:13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</row>
    <row r="253" spans="1:13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</row>
    <row r="254" spans="1:13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</row>
    <row r="255" spans="1:13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</row>
    <row r="256" spans="1:13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</row>
    <row r="257" spans="1:13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</row>
    <row r="258" spans="1:13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</row>
    <row r="259" spans="1:13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</row>
    <row r="260" spans="1:13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</row>
    <row r="262" spans="1:13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</row>
    <row r="264" spans="1:13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</row>
    <row r="265" spans="1:13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</row>
    <row r="266" spans="1:13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</row>
    <row r="267" spans="1:13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</row>
    <row r="268" spans="1:13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</row>
    <row r="269" spans="1:13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</row>
    <row r="270" spans="1:13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</row>
    <row r="271" spans="1:13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</row>
    <row r="272" spans="1:13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</row>
    <row r="273" spans="1:13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</row>
    <row r="274" spans="1:13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</row>
    <row r="275" spans="1:13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</row>
    <row r="276" spans="1:13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</row>
    <row r="277" spans="1:13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</row>
    <row r="278" spans="1:13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</row>
    <row r="279" spans="1:13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</row>
    <row r="280" spans="1:13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</row>
    <row r="281" spans="1:13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</row>
    <row r="282" spans="1:13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</row>
    <row r="283" spans="1:13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</row>
    <row r="284" spans="1:13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</row>
    <row r="285" spans="1:13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</row>
    <row r="286" spans="1:13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</row>
    <row r="287" spans="1:13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</row>
    <row r="288" spans="1:13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</row>
    <row r="289" spans="1:13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</row>
    <row r="290" spans="1:13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</row>
    <row r="291" spans="1:13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</row>
    <row r="292" spans="1:13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</row>
    <row r="293" spans="1:13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</row>
    <row r="294" spans="1:13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</row>
    <row r="295" spans="1:13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</row>
    <row r="296" spans="1:13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</row>
    <row r="297" spans="1:13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</row>
    <row r="298" spans="1:13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</row>
    <row r="299" spans="1:13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</row>
    <row r="300" spans="1:13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</row>
    <row r="301" spans="1:13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</row>
    <row r="302" spans="1:13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</row>
    <row r="303" spans="1:13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</row>
    <row r="304" spans="1:13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</row>
    <row r="305" spans="1:13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</row>
    <row r="306" spans="1:13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</row>
    <row r="307" spans="1:13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</row>
    <row r="308" spans="1:13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</row>
    <row r="309" spans="1:13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</row>
    <row r="310" spans="1:13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</row>
    <row r="311" spans="1:13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</row>
    <row r="312" spans="1:13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</row>
    <row r="313" spans="1:13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</row>
    <row r="314" spans="1:13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</row>
    <row r="315" spans="1:13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</row>
    <row r="316" spans="1:13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</row>
    <row r="317" spans="1:13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</row>
    <row r="318" spans="1:13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</row>
    <row r="319" spans="1:13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</row>
    <row r="320" spans="1:13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</row>
    <row r="321" spans="1:13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</row>
    <row r="322" spans="1:13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</row>
    <row r="323" spans="1:13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</row>
    <row r="324" spans="1:13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</row>
    <row r="325" spans="1:13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</row>
    <row r="326" spans="1:13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</row>
    <row r="327" spans="1:13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</row>
    <row r="328" spans="1:13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</row>
    <row r="329" spans="1:13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</row>
    <row r="330" spans="1:13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</row>
    <row r="331" spans="1:13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</row>
    <row r="332" spans="1:13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</row>
    <row r="333" spans="1:13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</row>
    <row r="334" spans="1:13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</row>
    <row r="335" spans="1:13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</row>
    <row r="336" spans="1:13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</row>
    <row r="337" spans="1:13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</row>
    <row r="338" spans="1:13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</row>
    <row r="339" spans="1:13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</row>
    <row r="340" spans="1:13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</row>
    <row r="341" spans="1:13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</row>
    <row r="342" spans="1:13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</row>
    <row r="343" spans="1:13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</row>
    <row r="344" spans="1:13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</row>
    <row r="345" spans="1:13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</row>
    <row r="346" spans="1:13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</row>
    <row r="347" spans="1:13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</row>
    <row r="348" spans="1:13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</row>
    <row r="349" spans="1:13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</row>
    <row r="350" spans="1:13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</row>
    <row r="351" spans="1:13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</row>
    <row r="352" spans="1:13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</row>
    <row r="353" spans="1:13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</row>
    <row r="354" spans="1:13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</row>
    <row r="355" spans="1:13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</row>
    <row r="356" spans="1:13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</row>
    <row r="357" spans="1:13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</row>
    <row r="358" spans="1:13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</row>
    <row r="359" spans="1:13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</row>
    <row r="360" spans="1:13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</row>
    <row r="361" spans="1:13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</row>
    <row r="362" spans="1:13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</row>
    <row r="363" spans="1:13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</row>
    <row r="364" spans="1:13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</row>
    <row r="365" spans="1:13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</row>
    <row r="366" spans="1:13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</row>
    <row r="367" spans="1:13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</row>
    <row r="368" spans="1:13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</row>
    <row r="369" spans="1:13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</row>
    <row r="370" spans="1:13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</row>
    <row r="371" spans="1:13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</row>
    <row r="372" spans="1:13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</row>
    <row r="373" spans="1:13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</row>
    <row r="374" spans="1:13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</row>
    <row r="375" spans="1:13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</row>
    <row r="376" spans="1:13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</row>
    <row r="377" spans="1:13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</row>
    <row r="378" spans="1:13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</row>
    <row r="379" spans="1:13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</row>
    <row r="380" spans="1:13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</row>
    <row r="381" spans="1:13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</row>
    <row r="382" spans="1:13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</row>
    <row r="383" spans="1:13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</row>
    <row r="384" spans="1:13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</row>
    <row r="385" spans="1:13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</row>
    <row r="386" spans="1:13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</row>
    <row r="387" spans="1:13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</row>
    <row r="388" spans="1:13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</row>
    <row r="389" spans="1:13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</row>
    <row r="390" spans="1:13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</row>
    <row r="391" spans="1:13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</row>
    <row r="392" spans="1:13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</row>
    <row r="393" spans="1:13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</row>
    <row r="394" spans="1:13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</row>
    <row r="395" spans="1:13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</row>
    <row r="396" spans="1:13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</row>
    <row r="397" spans="1:13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</row>
    <row r="398" spans="1:13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</row>
    <row r="399" spans="1:13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</row>
    <row r="400" spans="1:13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</row>
    <row r="401" spans="1:13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</row>
    <row r="402" spans="1:13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</row>
    <row r="403" spans="1:13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</row>
    <row r="404" spans="1:13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</row>
    <row r="405" spans="1:13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</row>
    <row r="406" spans="1:13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</row>
    <row r="407" spans="1:13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</row>
    <row r="408" spans="1:13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</row>
    <row r="409" spans="1:13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</row>
    <row r="410" spans="1:13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</row>
    <row r="411" spans="1:13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</row>
    <row r="412" spans="1:13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</row>
    <row r="413" spans="1:13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</row>
    <row r="414" spans="1:13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</row>
    <row r="415" spans="1:13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</row>
    <row r="416" spans="1:13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</row>
    <row r="417" spans="1:13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</row>
    <row r="418" spans="1:13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</row>
    <row r="419" spans="1:13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</row>
    <row r="420" spans="1:13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</row>
    <row r="421" spans="1:13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</row>
    <row r="422" spans="1:13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</row>
    <row r="423" spans="1:13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</row>
    <row r="424" spans="1:13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</row>
    <row r="425" spans="1:13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</row>
    <row r="426" spans="1:13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</row>
    <row r="427" spans="1:13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</row>
    <row r="428" spans="1:13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</row>
    <row r="429" spans="1:13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</row>
    <row r="430" spans="1:13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</row>
    <row r="431" spans="1:13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</row>
    <row r="432" spans="1:13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</row>
    <row r="433" spans="1:13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</row>
    <row r="434" spans="1:13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</row>
    <row r="435" spans="1:13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</row>
    <row r="436" spans="1:13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</row>
    <row r="437" spans="1:13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</row>
    <row r="438" spans="1:13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</row>
    <row r="439" spans="1:13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</row>
    <row r="440" spans="1:13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</row>
    <row r="441" spans="1:13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</row>
    <row r="442" spans="1:13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</row>
    <row r="443" spans="1:13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</row>
    <row r="444" spans="1:13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</row>
    <row r="445" spans="1:13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</row>
    <row r="446" spans="1:13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</row>
    <row r="447" spans="1:13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</row>
    <row r="448" spans="1:13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</row>
    <row r="449" spans="1:13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</row>
    <row r="450" spans="1:13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</row>
    <row r="451" spans="1:13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</row>
    <row r="452" spans="1:13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</row>
    <row r="453" spans="1:13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</row>
    <row r="454" spans="1:13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</row>
    <row r="455" spans="1:13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</row>
    <row r="456" spans="1:13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</row>
    <row r="457" spans="1:13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</row>
    <row r="458" spans="1:13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</row>
    <row r="459" spans="1:13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</row>
    <row r="460" spans="1:13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</row>
    <row r="461" spans="1:13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</row>
    <row r="462" spans="1:13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</row>
    <row r="463" spans="1:13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</row>
    <row r="464" spans="1:13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</row>
    <row r="465" spans="1:13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</row>
    <row r="466" spans="1:13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</row>
    <row r="467" spans="1:13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</row>
    <row r="468" spans="1:13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</row>
    <row r="469" spans="1:13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</row>
    <row r="470" spans="1:13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</row>
    <row r="471" spans="1:13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</row>
    <row r="472" spans="1:13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</row>
    <row r="473" spans="1:13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</row>
    <row r="474" spans="1:13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</row>
    <row r="475" spans="1:13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</row>
    <row r="476" spans="1:13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</row>
    <row r="477" spans="1:13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</row>
    <row r="478" spans="1:13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</row>
    <row r="479" spans="1:13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</row>
    <row r="480" spans="1:13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</row>
    <row r="481" spans="1:13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</row>
    <row r="482" spans="1:13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</row>
    <row r="483" spans="1:13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</row>
    <row r="484" spans="1:13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</row>
    <row r="485" spans="1:13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</row>
    <row r="486" spans="1:13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</row>
    <row r="487" spans="1:13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</row>
    <row r="488" spans="1:13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</row>
    <row r="489" spans="1:13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</row>
    <row r="490" spans="1:13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</row>
    <row r="491" spans="1:13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</row>
    <row r="492" spans="1:13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</row>
    <row r="493" spans="1:13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</row>
    <row r="494" spans="1:13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</row>
    <row r="495" spans="1:13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</row>
    <row r="496" spans="1:13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</row>
    <row r="497" spans="1:13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</row>
    <row r="498" spans="1:13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</row>
    <row r="499" spans="1:13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</row>
    <row r="500" spans="1:13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</row>
    <row r="501" spans="1:13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</row>
    <row r="502" spans="1:13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</row>
    <row r="503" spans="1:13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</row>
    <row r="504" spans="1:13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</row>
    <row r="505" spans="1:13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</row>
    <row r="506" spans="1:13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</row>
    <row r="507" spans="1:13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</row>
    <row r="508" spans="1:13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</row>
    <row r="509" spans="1:13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</row>
    <row r="510" spans="1:13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</row>
    <row r="511" spans="1:13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</row>
    <row r="512" spans="1:13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</row>
    <row r="513" spans="1:13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</row>
    <row r="514" spans="1:13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</row>
    <row r="515" spans="1:13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</row>
    <row r="516" spans="1:13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</row>
    <row r="517" spans="1:13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</row>
    <row r="518" spans="1:13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</row>
    <row r="519" spans="1:13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</row>
    <row r="520" spans="1:13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</row>
    <row r="521" spans="1:13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</row>
    <row r="522" spans="1:13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</row>
    <row r="523" spans="1:13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</row>
    <row r="524" spans="1:13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</row>
    <row r="525" spans="1:13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</row>
    <row r="526" spans="1:13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</row>
    <row r="527" spans="1:13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</row>
    <row r="528" spans="1:13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</row>
    <row r="529" spans="1:13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</row>
    <row r="530" spans="1:13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</row>
    <row r="531" spans="1:13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</row>
    <row r="532" spans="1:13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</row>
    <row r="533" spans="1:13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</row>
    <row r="534" spans="1:13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</row>
    <row r="535" spans="1:13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</row>
    <row r="536" spans="1:13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</row>
    <row r="537" spans="1:13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</row>
    <row r="538" spans="1:13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</row>
    <row r="539" spans="1:13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</row>
    <row r="540" spans="1:13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</row>
    <row r="541" spans="1:13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</row>
    <row r="542" spans="1:13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</row>
    <row r="543" spans="1:13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</row>
    <row r="544" spans="1:13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</row>
    <row r="545" spans="1:13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</row>
    <row r="546" spans="1:13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</row>
    <row r="547" spans="1:13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</row>
    <row r="548" spans="1:13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</row>
    <row r="549" spans="1:13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</row>
    <row r="550" spans="1:13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</row>
    <row r="551" spans="1:13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</row>
    <row r="552" spans="1:13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</row>
    <row r="553" spans="1:13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</row>
    <row r="554" spans="1:13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</row>
    <row r="555" spans="1:13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</row>
    <row r="556" spans="1:13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</row>
    <row r="557" spans="1:13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</row>
    <row r="558" spans="1:13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</row>
    <row r="559" spans="1:13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</row>
    <row r="560" spans="1:13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</row>
    <row r="561" spans="1:13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</row>
    <row r="562" spans="1:13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</row>
    <row r="563" spans="1:13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</row>
    <row r="564" spans="1:13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</row>
    <row r="565" spans="1:13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</row>
    <row r="566" spans="1:13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</row>
    <row r="567" spans="1:13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</row>
    <row r="568" spans="1:13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</row>
    <row r="569" spans="1:13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</row>
    <row r="570" spans="1:13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</row>
    <row r="571" spans="1:13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</row>
    <row r="572" spans="1:13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</row>
    <row r="573" spans="1:13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</row>
    <row r="574" spans="1:13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</row>
    <row r="575" spans="1:13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</row>
    <row r="576" spans="1:13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</row>
    <row r="577" spans="1:13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</row>
    <row r="578" spans="1:13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</row>
    <row r="579" spans="1:13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</row>
    <row r="580" spans="1:13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</row>
    <row r="581" spans="1:13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</row>
    <row r="582" spans="1:13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</row>
    <row r="583" spans="1:13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</row>
    <row r="584" spans="1:13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</row>
    <row r="585" spans="1:13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</row>
    <row r="586" spans="1:13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</row>
    <row r="587" spans="1:13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</row>
    <row r="588" spans="1:13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</row>
    <row r="589" spans="1:13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</row>
    <row r="590" spans="1:13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</row>
    <row r="591" spans="1:13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</row>
    <row r="592" spans="1:13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</row>
    <row r="593" spans="1:13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</row>
    <row r="594" spans="1:13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</row>
    <row r="595" spans="1:13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</row>
    <row r="596" spans="1:13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</row>
    <row r="597" spans="1:13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</row>
    <row r="598" spans="1:13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</row>
    <row r="599" spans="1:13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</row>
    <row r="600" spans="1:13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</row>
    <row r="601" spans="1:13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</row>
    <row r="602" spans="1:13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</row>
    <row r="603" spans="1:13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</row>
    <row r="604" spans="1:13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</row>
    <row r="605" spans="1:13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</row>
    <row r="606" spans="1:13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</row>
    <row r="607" spans="1:13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</row>
    <row r="608" spans="1:13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</row>
    <row r="609" spans="1:13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</row>
    <row r="610" spans="1:13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</row>
    <row r="611" spans="1:13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</row>
    <row r="612" spans="1:13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</row>
    <row r="613" spans="1:13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</row>
    <row r="614" spans="1:13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</row>
    <row r="615" spans="1:13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</row>
    <row r="616" spans="1:13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</row>
    <row r="617" spans="1:13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</row>
    <row r="618" spans="1:13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</row>
    <row r="619" spans="1:13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</row>
    <row r="620" spans="1:13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</row>
    <row r="621" spans="1:13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</row>
    <row r="622" spans="1:13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</row>
    <row r="623" spans="1:13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</row>
    <row r="624" spans="1:13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</row>
    <row r="625" spans="1:13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</row>
    <row r="626" spans="1:13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</row>
    <row r="627" spans="1:13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</row>
    <row r="628" spans="1:13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</row>
    <row r="629" spans="1:13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</row>
    <row r="630" spans="1:13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</row>
    <row r="631" spans="1:13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</row>
    <row r="632" spans="1:13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</row>
    <row r="633" spans="1:13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</row>
    <row r="634" spans="1:13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</row>
    <row r="635" spans="1:13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</row>
    <row r="636" spans="1:13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</row>
    <row r="637" spans="1:13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</row>
    <row r="638" spans="1:13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</row>
    <row r="639" spans="1:13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</row>
    <row r="640" spans="1:13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</row>
    <row r="641" spans="1:13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</row>
    <row r="642" spans="1:13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</row>
    <row r="643" spans="1:13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</row>
    <row r="644" spans="1:13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</row>
    <row r="645" spans="1:13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</row>
    <row r="646" spans="1:13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</row>
    <row r="647" spans="1:13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</row>
    <row r="648" spans="1:13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</row>
    <row r="649" spans="1:13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</row>
    <row r="650" spans="1:13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</row>
    <row r="651" spans="1:13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</row>
    <row r="652" spans="1:13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</row>
    <row r="653" spans="1:13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</row>
    <row r="654" spans="1:13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</row>
    <row r="655" spans="1:13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</row>
    <row r="656" spans="1:13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</row>
    <row r="657" spans="1:13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</row>
    <row r="658" spans="1:13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</row>
    <row r="659" spans="1:13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</row>
    <row r="660" spans="1:13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</row>
    <row r="661" spans="1:13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</row>
    <row r="662" spans="1:13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</row>
    <row r="663" spans="1:13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</row>
    <row r="664" spans="1:13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</row>
    <row r="665" spans="1:13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</row>
    <row r="666" spans="1:13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</row>
    <row r="667" spans="1:13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</row>
    <row r="668" spans="1:13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</row>
    <row r="669" spans="1:13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</row>
    <row r="670" spans="1:13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</row>
    <row r="671" spans="1:13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</row>
    <row r="672" spans="1:13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</row>
    <row r="673" spans="1:13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</row>
    <row r="674" spans="1:13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</row>
    <row r="675" spans="1:13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</row>
    <row r="676" spans="1:13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</row>
    <row r="677" spans="1:13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</row>
    <row r="678" spans="1:13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</row>
    <row r="679" spans="1:13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</row>
    <row r="680" spans="1:13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</row>
    <row r="681" spans="1:13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</row>
    <row r="682" spans="1:13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</row>
    <row r="683" spans="1:13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</row>
    <row r="684" spans="1:13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</row>
    <row r="685" spans="1:13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</row>
    <row r="686" spans="1:13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</row>
    <row r="687" spans="1:13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</row>
    <row r="688" spans="1:13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</row>
    <row r="689" spans="1:13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</row>
    <row r="690" spans="1:13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</row>
    <row r="691" spans="1:13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</row>
    <row r="692" spans="1:13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</row>
    <row r="693" spans="1:13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</row>
    <row r="694" spans="1:13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</row>
    <row r="695" spans="1:13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</row>
    <row r="696" spans="1:13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</row>
    <row r="697" spans="1:13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</row>
    <row r="698" spans="1:13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</row>
    <row r="699" spans="1:13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</row>
    <row r="700" spans="1:13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</row>
    <row r="701" spans="1:13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</row>
    <row r="702" spans="1:13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</row>
    <row r="703" spans="1:13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</row>
    <row r="704" spans="1:13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</row>
    <row r="705" spans="1:13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</row>
    <row r="706" spans="1:13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</row>
    <row r="707" spans="1:13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</row>
    <row r="708" spans="1:13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</row>
    <row r="709" spans="1:13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</row>
    <row r="710" spans="1:13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</row>
    <row r="711" spans="1:13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</row>
    <row r="712" spans="1:13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</row>
    <row r="713" spans="1:13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</row>
    <row r="714" spans="1:13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</row>
    <row r="715" spans="1:13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</row>
    <row r="716" spans="1:13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</row>
    <row r="717" spans="1:13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</row>
    <row r="718" spans="1:13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</row>
    <row r="719" spans="1:13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</row>
    <row r="720" spans="1:13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</row>
    <row r="721" spans="1:13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</row>
    <row r="722" spans="1:13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</row>
    <row r="723" spans="1:13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</row>
    <row r="724" spans="1:13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</row>
    <row r="725" spans="1:13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</row>
    <row r="726" spans="1:13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</row>
    <row r="727" spans="1:13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</row>
    <row r="728" spans="1:13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</row>
    <row r="729" spans="1:13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</row>
    <row r="730" spans="1:13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</row>
    <row r="731" spans="1:13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</row>
    <row r="732" spans="1:13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</row>
    <row r="733" spans="1:13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</row>
    <row r="734" spans="1:13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</row>
    <row r="735" spans="1:13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</row>
    <row r="736" spans="1:13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</row>
    <row r="737" spans="1:13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</row>
    <row r="738" spans="1:13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</row>
    <row r="739" spans="1:13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</row>
    <row r="740" spans="1:13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</row>
    <row r="741" spans="1:13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</row>
    <row r="742" spans="1:13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</row>
    <row r="743" spans="1:13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</row>
    <row r="744" spans="1:13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</row>
    <row r="745" spans="1:13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</row>
    <row r="746" spans="1:13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</row>
    <row r="747" spans="1:13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</row>
    <row r="748" spans="1:13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</row>
    <row r="749" spans="1:13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</row>
    <row r="750" spans="1:13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</row>
    <row r="751" spans="1:13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</row>
    <row r="752" spans="1:13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</row>
    <row r="753" spans="1:13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</row>
    <row r="754" spans="1:13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</row>
    <row r="755" spans="1:13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</row>
    <row r="756" spans="1:13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</row>
    <row r="757" spans="1:13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</row>
    <row r="758" spans="1:13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</row>
    <row r="759" spans="1:13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</row>
    <row r="760" spans="1:13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</row>
    <row r="761" spans="1:13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</row>
    <row r="762" spans="1:13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</row>
    <row r="763" spans="1:13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</row>
    <row r="764" spans="1:13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</row>
    <row r="765" spans="1:13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</row>
    <row r="766" spans="1:13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</row>
    <row r="767" spans="1:13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</row>
    <row r="768" spans="1:13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</row>
    <row r="769" spans="1:13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</row>
    <row r="770" spans="1:13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</row>
    <row r="771" spans="1:13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</row>
    <row r="772" spans="1:13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</row>
    <row r="773" spans="1:13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</row>
    <row r="774" spans="1:13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</row>
    <row r="775" spans="1:13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</row>
    <row r="776" spans="1:13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</row>
    <row r="777" spans="1:13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</row>
    <row r="778" spans="1:13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</row>
    <row r="779" spans="1:13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</row>
    <row r="780" spans="1:13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</row>
    <row r="781" spans="1:13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</row>
    <row r="782" spans="1:13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</row>
    <row r="783" spans="1:13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</row>
    <row r="784" spans="1:13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</row>
    <row r="785" spans="1:13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</row>
    <row r="786" spans="1:13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</row>
    <row r="787" spans="1:13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</row>
    <row r="788" spans="1:13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</row>
    <row r="789" spans="1:13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</row>
    <row r="790" spans="1:13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</row>
    <row r="791" spans="1:13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</row>
    <row r="792" spans="1:13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</row>
    <row r="793" spans="1:13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</row>
    <row r="794" spans="1:13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</row>
    <row r="795" spans="1:13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</row>
    <row r="796" spans="1:13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</row>
    <row r="797" spans="1:13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</row>
    <row r="798" spans="1:13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</row>
    <row r="799" spans="1:13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</row>
    <row r="800" spans="1:13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</row>
    <row r="801" spans="1:13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</row>
    <row r="802" spans="1:13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</row>
    <row r="803" spans="1:13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</row>
    <row r="804" spans="1:13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</row>
    <row r="805" spans="1:13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</row>
    <row r="806" spans="1:13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</row>
    <row r="807" spans="1:13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</row>
    <row r="808" spans="1:13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</row>
    <row r="809" spans="1:13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</row>
    <row r="810" spans="1:13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</row>
    <row r="811" spans="1:13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</row>
    <row r="812" spans="1:13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</row>
    <row r="813" spans="1:13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</row>
    <row r="814" spans="1:13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</row>
    <row r="815" spans="1:13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</row>
    <row r="816" spans="1:13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</row>
    <row r="817" spans="1:13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</row>
    <row r="818" spans="1:13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</row>
    <row r="819" spans="1:13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</row>
    <row r="820" spans="1:13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</row>
    <row r="821" spans="1:13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</row>
    <row r="822" spans="1:13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</row>
    <row r="823" spans="1:13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</row>
    <row r="824" spans="1:13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</row>
    <row r="825" spans="1:13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</row>
    <row r="826" spans="1:13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</row>
    <row r="827" spans="1:13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</row>
    <row r="828" spans="1:13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</row>
    <row r="829" spans="1:13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</row>
    <row r="830" spans="1:13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</row>
    <row r="831" spans="1:13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</row>
    <row r="832" spans="1:13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</row>
    <row r="833" spans="1:13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</row>
    <row r="834" spans="1:13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</row>
    <row r="835" spans="1:13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</row>
    <row r="836" spans="1:13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</row>
    <row r="837" spans="1:13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</row>
    <row r="838" spans="1:13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</row>
    <row r="839" spans="1:13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</row>
    <row r="840" spans="1:13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</row>
    <row r="841" spans="1:13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</row>
    <row r="842" spans="1:13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</row>
    <row r="843" spans="1:13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</row>
    <row r="844" spans="1:13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</row>
    <row r="845" spans="1:13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</row>
    <row r="846" spans="1:13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</row>
    <row r="847" spans="1:13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</row>
    <row r="848" spans="1:13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</row>
    <row r="849" spans="1:13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</row>
    <row r="850" spans="1:13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</row>
    <row r="851" spans="1:13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</row>
    <row r="852" spans="1:13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</row>
    <row r="853" spans="1:13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</row>
    <row r="854" spans="1:13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</row>
    <row r="855" spans="1:13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</row>
    <row r="856" spans="1:13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</row>
    <row r="857" spans="1:13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</row>
    <row r="858" spans="1:13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</row>
    <row r="859" spans="1:13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</row>
    <row r="860" spans="1:13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</row>
    <row r="861" spans="1:13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</row>
    <row r="862" spans="1:13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</row>
    <row r="863" spans="1:13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</row>
    <row r="864" spans="1:13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</row>
    <row r="865" spans="1:13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</row>
    <row r="866" spans="1:13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</row>
    <row r="867" spans="1:13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</row>
    <row r="868" spans="1:13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</row>
    <row r="869" spans="1:13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</row>
    <row r="870" spans="1:13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</row>
    <row r="871" spans="1:13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</row>
    <row r="872" spans="1:13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</row>
    <row r="873" spans="1:13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</row>
    <row r="874" spans="1:13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</row>
    <row r="875" spans="1:13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</row>
    <row r="876" spans="1:13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</row>
    <row r="877" spans="1:13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</row>
    <row r="878" spans="1:13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</row>
    <row r="879" spans="1:13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</row>
    <row r="880" spans="1:13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</row>
    <row r="881" spans="1:13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</row>
    <row r="882" spans="1:13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</row>
    <row r="883" spans="1:13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</row>
    <row r="884" spans="1:13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</row>
    <row r="885" spans="1:13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</row>
    <row r="886" spans="1:13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</row>
    <row r="887" spans="1:13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</row>
    <row r="888" spans="1:13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</row>
    <row r="889" spans="1:13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</row>
    <row r="890" spans="1:13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</row>
    <row r="891" spans="1:13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</row>
    <row r="892" spans="1:13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</row>
    <row r="893" spans="1:13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</row>
    <row r="894" spans="1:13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</row>
    <row r="895" spans="1:13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</row>
    <row r="896" spans="1:13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</row>
    <row r="897" spans="1:13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</row>
    <row r="898" spans="1:13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</row>
    <row r="899" spans="1:13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</row>
    <row r="900" spans="1:13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</row>
    <row r="901" spans="1:13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</row>
    <row r="902" spans="1:13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</row>
    <row r="903" spans="1:13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</row>
    <row r="904" spans="1:13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</row>
    <row r="905" spans="1:13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</row>
    <row r="906" spans="1:13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</row>
    <row r="907" spans="1:13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</row>
    <row r="908" spans="1:13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</row>
    <row r="909" spans="1:13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</row>
    <row r="910" spans="1:13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</row>
    <row r="911" spans="1:13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</row>
    <row r="912" spans="1:13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</row>
    <row r="913" spans="1:13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</row>
    <row r="914" spans="1:13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</row>
    <row r="915" spans="1:13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</row>
    <row r="916" spans="1:13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</row>
    <row r="917" spans="1:13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</row>
    <row r="918" spans="1:13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</row>
    <row r="919" spans="1:13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</row>
    <row r="920" spans="1:13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</row>
    <row r="921" spans="1:13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</row>
    <row r="922" spans="1:13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</row>
    <row r="923" spans="1:13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</row>
    <row r="924" spans="1:13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</row>
    <row r="925" spans="1:13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</row>
    <row r="926" spans="1:13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</row>
    <row r="927" spans="1:13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</row>
    <row r="928" spans="1:13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</row>
    <row r="929" spans="1:13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</row>
    <row r="930" spans="1:13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</row>
    <row r="931" spans="1:13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</row>
    <row r="932" spans="1:13" x14ac:dyDescent="0.25">
      <c r="A932"/>
      <c r="B932"/>
      <c r="C932"/>
      <c r="D932"/>
      <c r="E932"/>
      <c r="F932"/>
      <c r="G932"/>
      <c r="H932"/>
      <c r="I932"/>
      <c r="J932"/>
      <c r="K932"/>
      <c r="L932"/>
      <c r="M932"/>
    </row>
    <row r="933" spans="1:13" x14ac:dyDescent="0.25">
      <c r="A933"/>
      <c r="B933"/>
      <c r="C933"/>
      <c r="D933"/>
      <c r="E933"/>
      <c r="F933"/>
      <c r="G933"/>
      <c r="H933"/>
      <c r="I933"/>
      <c r="J933"/>
      <c r="K933"/>
      <c r="L933"/>
      <c r="M933"/>
    </row>
    <row r="934" spans="1:13" x14ac:dyDescent="0.25">
      <c r="A934"/>
      <c r="B934"/>
      <c r="C934"/>
      <c r="D934"/>
      <c r="E934"/>
      <c r="F934"/>
      <c r="G934"/>
      <c r="H934"/>
      <c r="I934"/>
      <c r="J934"/>
      <c r="K934"/>
      <c r="L934"/>
      <c r="M934"/>
    </row>
    <row r="935" spans="1:13" x14ac:dyDescent="0.25">
      <c r="A935"/>
      <c r="B935"/>
      <c r="C935"/>
      <c r="D935"/>
      <c r="E935"/>
      <c r="F935"/>
      <c r="G935"/>
      <c r="H935"/>
      <c r="I935"/>
      <c r="J935"/>
      <c r="K935"/>
      <c r="L935"/>
      <c r="M935"/>
    </row>
    <row r="936" spans="1:13" x14ac:dyDescent="0.25">
      <c r="A936"/>
      <c r="B936"/>
      <c r="C936"/>
      <c r="D936"/>
      <c r="E936"/>
      <c r="F936"/>
      <c r="G936"/>
      <c r="H936"/>
      <c r="I936"/>
      <c r="J936"/>
      <c r="K936"/>
      <c r="L936"/>
      <c r="M936"/>
    </row>
    <row r="937" spans="1:13" x14ac:dyDescent="0.25">
      <c r="A937"/>
      <c r="B937"/>
      <c r="C937"/>
      <c r="D937"/>
      <c r="E937"/>
      <c r="F937"/>
      <c r="G937"/>
      <c r="H937"/>
      <c r="I937"/>
      <c r="J937"/>
      <c r="K937"/>
      <c r="L937"/>
      <c r="M937"/>
    </row>
    <row r="938" spans="1:13" x14ac:dyDescent="0.25">
      <c r="A938"/>
      <c r="B938"/>
      <c r="C938"/>
      <c r="D938"/>
      <c r="E938"/>
      <c r="F938"/>
      <c r="G938"/>
      <c r="H938"/>
      <c r="I938"/>
      <c r="J938"/>
      <c r="K938"/>
      <c r="L938"/>
      <c r="M938"/>
    </row>
    <row r="939" spans="1:13" x14ac:dyDescent="0.25">
      <c r="A939"/>
      <c r="B939"/>
      <c r="C939"/>
      <c r="D939"/>
      <c r="E939"/>
      <c r="F939"/>
      <c r="G939"/>
      <c r="H939"/>
      <c r="I939"/>
      <c r="J939"/>
      <c r="K939"/>
      <c r="L939"/>
      <c r="M939"/>
    </row>
    <row r="940" spans="1:13" x14ac:dyDescent="0.25">
      <c r="A940"/>
      <c r="B940"/>
      <c r="C940"/>
      <c r="D940"/>
      <c r="E940"/>
      <c r="F940"/>
      <c r="G940"/>
      <c r="H940"/>
      <c r="I940"/>
      <c r="J940"/>
      <c r="K940"/>
      <c r="L940"/>
      <c r="M940"/>
    </row>
    <row r="941" spans="1:13" x14ac:dyDescent="0.25">
      <c r="A941"/>
      <c r="B941"/>
      <c r="C941"/>
      <c r="D941"/>
      <c r="E941"/>
      <c r="F941"/>
      <c r="G941"/>
      <c r="H941"/>
      <c r="I941"/>
      <c r="J941"/>
      <c r="K941"/>
      <c r="L941"/>
      <c r="M941"/>
    </row>
    <row r="942" spans="1:13" x14ac:dyDescent="0.25">
      <c r="A942"/>
      <c r="B942"/>
      <c r="C942"/>
      <c r="D942"/>
      <c r="E942"/>
      <c r="F942"/>
      <c r="G942"/>
      <c r="H942"/>
      <c r="I942"/>
      <c r="J942"/>
      <c r="K942"/>
      <c r="L942"/>
      <c r="M942"/>
    </row>
    <row r="943" spans="1:13" x14ac:dyDescent="0.25">
      <c r="A943"/>
      <c r="B943"/>
      <c r="C943"/>
      <c r="D943"/>
      <c r="E943"/>
      <c r="F943"/>
      <c r="G943"/>
      <c r="H943"/>
      <c r="I943"/>
      <c r="J943"/>
      <c r="K943"/>
      <c r="L943"/>
      <c r="M943"/>
    </row>
    <row r="944" spans="1:13" x14ac:dyDescent="0.25">
      <c r="A944"/>
      <c r="B944"/>
      <c r="C944"/>
      <c r="D944"/>
      <c r="E944"/>
      <c r="F944"/>
      <c r="G944"/>
      <c r="H944"/>
      <c r="I944"/>
      <c r="J944"/>
      <c r="K944"/>
      <c r="L944"/>
      <c r="M944"/>
    </row>
    <row r="945" spans="1:13" x14ac:dyDescent="0.25">
      <c r="A945"/>
      <c r="B945"/>
      <c r="C945"/>
      <c r="D945"/>
      <c r="E945"/>
      <c r="F945"/>
      <c r="G945"/>
      <c r="H945"/>
      <c r="I945"/>
      <c r="J945"/>
      <c r="K945"/>
      <c r="L945"/>
      <c r="M945"/>
    </row>
    <row r="946" spans="1:13" x14ac:dyDescent="0.25">
      <c r="A946"/>
      <c r="B946"/>
      <c r="C946"/>
      <c r="D946"/>
      <c r="E946"/>
      <c r="F946"/>
      <c r="G946"/>
      <c r="H946"/>
      <c r="I946"/>
      <c r="J946"/>
      <c r="K946"/>
      <c r="L946"/>
      <c r="M946"/>
    </row>
    <row r="947" spans="1:13" x14ac:dyDescent="0.25">
      <c r="A947"/>
      <c r="B947"/>
      <c r="C947"/>
      <c r="D947"/>
      <c r="E947"/>
      <c r="F947"/>
      <c r="G947"/>
      <c r="H947"/>
      <c r="I947"/>
      <c r="J947"/>
      <c r="K947"/>
      <c r="L947"/>
      <c r="M947"/>
    </row>
    <row r="948" spans="1:13" x14ac:dyDescent="0.25">
      <c r="A948"/>
      <c r="B948"/>
      <c r="C948"/>
      <c r="D948"/>
      <c r="E948"/>
      <c r="F948"/>
      <c r="G948"/>
      <c r="H948"/>
      <c r="I948"/>
      <c r="J948"/>
      <c r="K948"/>
      <c r="L948"/>
      <c r="M948"/>
    </row>
    <row r="949" spans="1:13" x14ac:dyDescent="0.25">
      <c r="A949"/>
      <c r="B949"/>
      <c r="C949"/>
      <c r="D949"/>
      <c r="E949"/>
      <c r="F949"/>
      <c r="G949"/>
      <c r="H949"/>
      <c r="I949"/>
      <c r="J949"/>
      <c r="K949"/>
      <c r="L949"/>
      <c r="M949"/>
    </row>
    <row r="950" spans="1:13" x14ac:dyDescent="0.25">
      <c r="A950"/>
      <c r="B950"/>
      <c r="C950"/>
      <c r="D950"/>
      <c r="E950"/>
      <c r="F950"/>
      <c r="G950"/>
      <c r="H950"/>
      <c r="I950"/>
      <c r="J950"/>
      <c r="K950"/>
      <c r="L950"/>
      <c r="M950"/>
    </row>
    <row r="951" spans="1:13" x14ac:dyDescent="0.25">
      <c r="A951"/>
      <c r="B951"/>
      <c r="C951"/>
      <c r="D951"/>
      <c r="E951"/>
      <c r="F951"/>
      <c r="G951"/>
      <c r="H951"/>
      <c r="I951"/>
      <c r="J951"/>
      <c r="K951"/>
      <c r="L951"/>
      <c r="M951"/>
    </row>
    <row r="952" spans="1:13" x14ac:dyDescent="0.25">
      <c r="A952"/>
      <c r="B952"/>
      <c r="C952"/>
      <c r="D952"/>
      <c r="E952"/>
      <c r="F952"/>
      <c r="G952"/>
      <c r="H952"/>
      <c r="I952"/>
      <c r="J952"/>
      <c r="K952"/>
      <c r="L952"/>
      <c r="M952"/>
    </row>
    <row r="953" spans="1:13" x14ac:dyDescent="0.25">
      <c r="A953"/>
      <c r="B953"/>
      <c r="C953"/>
      <c r="D953"/>
      <c r="E953"/>
      <c r="F953"/>
      <c r="G953"/>
      <c r="H953"/>
      <c r="I953"/>
      <c r="J953"/>
      <c r="K953"/>
      <c r="L953"/>
      <c r="M953"/>
    </row>
    <row r="954" spans="1:13" x14ac:dyDescent="0.25">
      <c r="A954"/>
      <c r="B954"/>
      <c r="C954"/>
      <c r="D954"/>
      <c r="E954"/>
      <c r="F954"/>
      <c r="G954"/>
      <c r="H954"/>
      <c r="I954"/>
      <c r="J954"/>
      <c r="K954"/>
      <c r="L954"/>
      <c r="M954"/>
    </row>
    <row r="955" spans="1:13" x14ac:dyDescent="0.25">
      <c r="A955"/>
      <c r="B955"/>
      <c r="C955"/>
      <c r="D955"/>
      <c r="E955"/>
      <c r="F955"/>
      <c r="G955"/>
      <c r="H955"/>
      <c r="I955"/>
      <c r="J955"/>
      <c r="K955"/>
      <c r="L955"/>
      <c r="M955"/>
    </row>
    <row r="956" spans="1:13" x14ac:dyDescent="0.25">
      <c r="A956"/>
      <c r="B956"/>
      <c r="C956"/>
      <c r="D956"/>
      <c r="E956"/>
      <c r="F956"/>
      <c r="G956"/>
      <c r="H956"/>
      <c r="I956"/>
      <c r="J956"/>
      <c r="K956"/>
      <c r="L956"/>
      <c r="M956"/>
    </row>
    <row r="957" spans="1:13" x14ac:dyDescent="0.25">
      <c r="A957"/>
      <c r="B957"/>
      <c r="C957"/>
      <c r="D957"/>
      <c r="E957"/>
      <c r="F957"/>
      <c r="G957"/>
      <c r="H957"/>
      <c r="I957"/>
      <c r="J957"/>
      <c r="K957"/>
      <c r="L957"/>
      <c r="M957"/>
    </row>
    <row r="958" spans="1:13" x14ac:dyDescent="0.25">
      <c r="A958"/>
      <c r="B958"/>
      <c r="C958"/>
      <c r="D958"/>
      <c r="E958"/>
      <c r="F958"/>
      <c r="G958"/>
      <c r="H958"/>
      <c r="I958"/>
      <c r="J958"/>
      <c r="K958"/>
      <c r="L958"/>
      <c r="M958"/>
    </row>
    <row r="959" spans="1:13" x14ac:dyDescent="0.25">
      <c r="A959"/>
      <c r="B959"/>
      <c r="C959"/>
      <c r="D959"/>
      <c r="E959"/>
      <c r="F959"/>
      <c r="G959"/>
      <c r="H959"/>
      <c r="I959"/>
      <c r="J959"/>
      <c r="K959"/>
      <c r="L959"/>
      <c r="M959"/>
    </row>
    <row r="960" spans="1:13" x14ac:dyDescent="0.25">
      <c r="A960"/>
      <c r="B960"/>
      <c r="C960"/>
      <c r="D960"/>
      <c r="E960"/>
      <c r="F960"/>
      <c r="G960"/>
      <c r="H960"/>
      <c r="I960"/>
      <c r="J960"/>
      <c r="K960"/>
      <c r="L960"/>
      <c r="M960"/>
    </row>
    <row r="961" spans="1:13" x14ac:dyDescent="0.25">
      <c r="A961"/>
      <c r="B961"/>
      <c r="C961"/>
      <c r="D961"/>
      <c r="E961"/>
      <c r="F961"/>
      <c r="G961"/>
      <c r="H961"/>
      <c r="I961"/>
      <c r="J961"/>
      <c r="K961"/>
      <c r="L961"/>
      <c r="M961"/>
    </row>
    <row r="962" spans="1:13" x14ac:dyDescent="0.25">
      <c r="A962"/>
      <c r="B962"/>
      <c r="C962"/>
      <c r="D962"/>
      <c r="E962"/>
      <c r="F962"/>
      <c r="G962"/>
      <c r="H962"/>
      <c r="I962"/>
      <c r="J962"/>
      <c r="K962"/>
      <c r="L962"/>
      <c r="M962"/>
    </row>
    <row r="963" spans="1:13" x14ac:dyDescent="0.25">
      <c r="A963"/>
      <c r="B963"/>
      <c r="C963"/>
      <c r="D963"/>
      <c r="E963"/>
      <c r="F963"/>
      <c r="G963"/>
      <c r="H963"/>
      <c r="I963"/>
      <c r="J963"/>
      <c r="K963"/>
      <c r="L963"/>
      <c r="M963"/>
    </row>
    <row r="964" spans="1:13" x14ac:dyDescent="0.25">
      <c r="A964"/>
      <c r="B964"/>
      <c r="C964"/>
      <c r="D964"/>
      <c r="E964"/>
      <c r="F964"/>
      <c r="G964"/>
      <c r="H964"/>
      <c r="I964"/>
      <c r="J964"/>
      <c r="K964"/>
      <c r="L964"/>
      <c r="M964"/>
    </row>
    <row r="965" spans="1:13" x14ac:dyDescent="0.25">
      <c r="A965"/>
      <c r="B965"/>
      <c r="C965"/>
      <c r="D965"/>
      <c r="E965"/>
      <c r="F965"/>
      <c r="G965"/>
      <c r="H965"/>
      <c r="I965"/>
      <c r="J965"/>
      <c r="K965"/>
      <c r="L965"/>
      <c r="M965"/>
    </row>
    <row r="966" spans="1:13" x14ac:dyDescent="0.25">
      <c r="A966"/>
      <c r="B966"/>
      <c r="C966"/>
      <c r="D966"/>
      <c r="E966"/>
      <c r="F966"/>
      <c r="G966"/>
      <c r="H966"/>
      <c r="I966"/>
      <c r="J966"/>
      <c r="K966"/>
      <c r="L966"/>
      <c r="M966"/>
    </row>
    <row r="967" spans="1:13" x14ac:dyDescent="0.25">
      <c r="A967"/>
      <c r="B967"/>
      <c r="C967"/>
      <c r="D967"/>
      <c r="E967"/>
      <c r="F967"/>
      <c r="G967"/>
      <c r="H967"/>
      <c r="I967"/>
      <c r="J967"/>
      <c r="K967"/>
      <c r="L967"/>
      <c r="M967"/>
    </row>
    <row r="968" spans="1:13" x14ac:dyDescent="0.25">
      <c r="A968"/>
      <c r="B968"/>
      <c r="C968"/>
      <c r="D968"/>
      <c r="E968"/>
      <c r="F968"/>
      <c r="G968"/>
      <c r="H968"/>
      <c r="I968"/>
      <c r="J968"/>
      <c r="K968"/>
      <c r="L968"/>
      <c r="M968"/>
    </row>
    <row r="969" spans="1:13" x14ac:dyDescent="0.25">
      <c r="A969"/>
      <c r="B969"/>
      <c r="C969"/>
      <c r="D969"/>
      <c r="E969"/>
      <c r="F969"/>
      <c r="G969"/>
      <c r="H969"/>
      <c r="I969"/>
      <c r="J969"/>
      <c r="K969"/>
      <c r="L969"/>
      <c r="M969"/>
    </row>
    <row r="970" spans="1:13" x14ac:dyDescent="0.25">
      <c r="A970"/>
      <c r="B970"/>
      <c r="C970"/>
      <c r="D970"/>
      <c r="E970"/>
      <c r="F970"/>
      <c r="G970"/>
      <c r="H970"/>
      <c r="I970"/>
      <c r="J970"/>
      <c r="K970"/>
      <c r="L970"/>
      <c r="M970"/>
    </row>
    <row r="971" spans="1:13" x14ac:dyDescent="0.25">
      <c r="A971"/>
      <c r="B971"/>
      <c r="C971"/>
      <c r="D971"/>
      <c r="E971"/>
      <c r="F971"/>
      <c r="G971"/>
      <c r="H971"/>
      <c r="I971"/>
      <c r="J971"/>
      <c r="K971"/>
      <c r="L971"/>
      <c r="M971"/>
    </row>
    <row r="972" spans="1:13" x14ac:dyDescent="0.25">
      <c r="A972"/>
      <c r="B972"/>
      <c r="C972"/>
      <c r="D972"/>
      <c r="E972"/>
      <c r="F972"/>
      <c r="G972"/>
      <c r="H972"/>
      <c r="I972"/>
      <c r="J972"/>
      <c r="K972"/>
      <c r="L972"/>
      <c r="M972"/>
    </row>
    <row r="973" spans="1:13" x14ac:dyDescent="0.25">
      <c r="A973"/>
      <c r="B973"/>
      <c r="C973"/>
      <c r="D973"/>
      <c r="E973"/>
      <c r="F973"/>
      <c r="G973"/>
      <c r="H973"/>
      <c r="I973"/>
      <c r="J973"/>
      <c r="K973"/>
      <c r="L973"/>
      <c r="M973"/>
    </row>
    <row r="974" spans="1:13" x14ac:dyDescent="0.25">
      <c r="A974"/>
      <c r="B974"/>
      <c r="C974"/>
      <c r="D974"/>
      <c r="E974"/>
      <c r="F974"/>
      <c r="G974"/>
      <c r="H974"/>
      <c r="I974"/>
      <c r="J974"/>
      <c r="K974"/>
      <c r="L974"/>
      <c r="M974"/>
    </row>
    <row r="975" spans="1:13" x14ac:dyDescent="0.25">
      <c r="A975"/>
      <c r="B975"/>
      <c r="C975"/>
      <c r="D975"/>
      <c r="E975"/>
      <c r="F975"/>
      <c r="G975"/>
      <c r="H975"/>
      <c r="I975"/>
      <c r="J975"/>
      <c r="K975"/>
      <c r="L975"/>
      <c r="M975"/>
    </row>
    <row r="976" spans="1:13" x14ac:dyDescent="0.25">
      <c r="A976"/>
      <c r="B976"/>
      <c r="C976"/>
      <c r="D976"/>
      <c r="E976"/>
      <c r="F976"/>
      <c r="G976"/>
      <c r="H976"/>
      <c r="I976"/>
      <c r="J976"/>
      <c r="K976"/>
      <c r="L976"/>
      <c r="M976"/>
    </row>
    <row r="977" spans="1:13" x14ac:dyDescent="0.25">
      <c r="A977"/>
      <c r="B977"/>
      <c r="C977"/>
      <c r="D977"/>
      <c r="E977"/>
      <c r="F977"/>
      <c r="G977"/>
      <c r="H977"/>
      <c r="I977"/>
      <c r="J977"/>
      <c r="K977"/>
      <c r="L977"/>
      <c r="M977"/>
    </row>
    <row r="978" spans="1:13" x14ac:dyDescent="0.25">
      <c r="A978"/>
      <c r="B978"/>
      <c r="C978"/>
      <c r="D978"/>
      <c r="E978"/>
      <c r="F978"/>
      <c r="G978"/>
      <c r="H978"/>
      <c r="I978"/>
      <c r="J978"/>
      <c r="K978"/>
      <c r="L978"/>
      <c r="M978"/>
    </row>
    <row r="979" spans="1:13" x14ac:dyDescent="0.25">
      <c r="A979"/>
      <c r="B979"/>
      <c r="C979"/>
      <c r="D979"/>
      <c r="E979"/>
      <c r="F979"/>
      <c r="G979"/>
      <c r="H979"/>
      <c r="I979"/>
      <c r="J979"/>
      <c r="K979"/>
      <c r="L979"/>
      <c r="M979"/>
    </row>
    <row r="980" spans="1:13" x14ac:dyDescent="0.25">
      <c r="A980"/>
      <c r="B980"/>
      <c r="C980"/>
      <c r="D980"/>
      <c r="E980"/>
      <c r="F980"/>
      <c r="G980"/>
      <c r="H980"/>
      <c r="I980"/>
      <c r="J980"/>
      <c r="K980"/>
      <c r="L980"/>
      <c r="M980"/>
    </row>
    <row r="981" spans="1:13" x14ac:dyDescent="0.25">
      <c r="A981"/>
      <c r="B981"/>
      <c r="C981"/>
      <c r="D981"/>
      <c r="E981"/>
      <c r="F981"/>
      <c r="G981"/>
      <c r="H981"/>
      <c r="I981"/>
      <c r="J981"/>
      <c r="K981"/>
      <c r="L981"/>
      <c r="M981"/>
    </row>
    <row r="982" spans="1:13" x14ac:dyDescent="0.25">
      <c r="A982"/>
      <c r="B982"/>
      <c r="C982"/>
      <c r="D982"/>
      <c r="E982"/>
      <c r="F982"/>
      <c r="G982"/>
      <c r="H982"/>
      <c r="I982"/>
      <c r="J982"/>
      <c r="K982"/>
      <c r="L982"/>
      <c r="M982"/>
    </row>
    <row r="983" spans="1:13" x14ac:dyDescent="0.25">
      <c r="A983"/>
      <c r="B983"/>
      <c r="C983"/>
      <c r="D983"/>
      <c r="E983"/>
      <c r="F983"/>
      <c r="G983"/>
      <c r="H983"/>
      <c r="I983"/>
      <c r="J983"/>
      <c r="K983"/>
      <c r="L983"/>
      <c r="M983"/>
    </row>
    <row r="984" spans="1:13" x14ac:dyDescent="0.25">
      <c r="A984"/>
      <c r="B984"/>
      <c r="C984"/>
      <c r="D984"/>
      <c r="E984"/>
      <c r="F984"/>
      <c r="G984"/>
      <c r="H984"/>
      <c r="I984"/>
      <c r="J984"/>
      <c r="K984"/>
      <c r="L984"/>
      <c r="M984"/>
    </row>
    <row r="985" spans="1:13" x14ac:dyDescent="0.25">
      <c r="A985"/>
      <c r="B985"/>
      <c r="C985"/>
      <c r="D985"/>
      <c r="E985"/>
      <c r="F985"/>
      <c r="G985"/>
      <c r="H985"/>
      <c r="I985"/>
      <c r="J985"/>
      <c r="K985"/>
      <c r="L985"/>
      <c r="M985"/>
    </row>
    <row r="986" spans="1:13" x14ac:dyDescent="0.25">
      <c r="A986"/>
      <c r="B986"/>
      <c r="C986"/>
      <c r="D986"/>
      <c r="E986"/>
      <c r="F986"/>
      <c r="G986"/>
      <c r="H986"/>
      <c r="I986"/>
      <c r="J986"/>
      <c r="K986"/>
      <c r="L986"/>
      <c r="M986"/>
    </row>
    <row r="987" spans="1:13" x14ac:dyDescent="0.25">
      <c r="A987"/>
      <c r="B987"/>
      <c r="C987"/>
      <c r="D987"/>
      <c r="E987"/>
      <c r="F987"/>
      <c r="G987"/>
      <c r="H987"/>
      <c r="I987"/>
      <c r="J987"/>
      <c r="K987"/>
      <c r="L987"/>
      <c r="M987"/>
    </row>
    <row r="988" spans="1:13" x14ac:dyDescent="0.25">
      <c r="A988"/>
      <c r="B988"/>
      <c r="C988"/>
      <c r="D988"/>
      <c r="E988"/>
      <c r="F988"/>
      <c r="G988"/>
      <c r="H988"/>
      <c r="I988"/>
      <c r="J988"/>
      <c r="K988"/>
      <c r="L988"/>
      <c r="M988"/>
    </row>
    <row r="989" spans="1:13" x14ac:dyDescent="0.25">
      <c r="A989"/>
      <c r="B989"/>
      <c r="C989"/>
      <c r="D989"/>
      <c r="E989"/>
      <c r="F989"/>
      <c r="G989"/>
      <c r="H989"/>
      <c r="I989"/>
      <c r="J989"/>
      <c r="K989"/>
      <c r="L989"/>
      <c r="M989"/>
    </row>
    <row r="990" spans="1:13" x14ac:dyDescent="0.25">
      <c r="A990"/>
      <c r="B990"/>
      <c r="C990"/>
      <c r="D990"/>
      <c r="E990"/>
      <c r="F990"/>
      <c r="G990"/>
      <c r="H990"/>
      <c r="I990"/>
      <c r="J990"/>
      <c r="K990"/>
      <c r="L990"/>
      <c r="M990"/>
    </row>
    <row r="991" spans="1:13" x14ac:dyDescent="0.25">
      <c r="A991"/>
      <c r="B991"/>
      <c r="C991"/>
      <c r="D991"/>
      <c r="E991"/>
      <c r="F991"/>
      <c r="G991"/>
      <c r="H991"/>
      <c r="I991"/>
      <c r="J991"/>
      <c r="K991"/>
      <c r="L991"/>
      <c r="M991"/>
    </row>
    <row r="992" spans="1:13" x14ac:dyDescent="0.25">
      <c r="A992"/>
      <c r="B992"/>
      <c r="C992"/>
      <c r="D992"/>
      <c r="E992"/>
      <c r="F992"/>
      <c r="G992"/>
      <c r="H992"/>
      <c r="I992"/>
      <c r="J992"/>
      <c r="K992"/>
      <c r="L992"/>
      <c r="M992"/>
    </row>
    <row r="993" spans="1:13" x14ac:dyDescent="0.25">
      <c r="A993"/>
      <c r="B993"/>
      <c r="C993"/>
      <c r="D993"/>
      <c r="E993"/>
      <c r="F993"/>
      <c r="G993"/>
      <c r="H993"/>
      <c r="I993"/>
      <c r="J993"/>
      <c r="K993"/>
      <c r="L993"/>
      <c r="M993"/>
    </row>
    <row r="994" spans="1:13" x14ac:dyDescent="0.25">
      <c r="A994"/>
      <c r="B994"/>
      <c r="C994"/>
      <c r="D994"/>
      <c r="E994"/>
      <c r="F994"/>
      <c r="G994"/>
      <c r="H994"/>
      <c r="I994"/>
      <c r="J994"/>
      <c r="K994"/>
      <c r="L994"/>
      <c r="M994"/>
    </row>
    <row r="995" spans="1:13" x14ac:dyDescent="0.25">
      <c r="A995"/>
      <c r="B995"/>
      <c r="C995"/>
      <c r="D995"/>
      <c r="E995"/>
      <c r="F995"/>
      <c r="G995"/>
      <c r="H995"/>
      <c r="I995"/>
      <c r="J995"/>
      <c r="K995"/>
      <c r="L995"/>
      <c r="M995"/>
    </row>
    <row r="996" spans="1:13" x14ac:dyDescent="0.25">
      <c r="A996"/>
      <c r="B996"/>
      <c r="C996"/>
      <c r="D996"/>
      <c r="E996"/>
      <c r="F996"/>
      <c r="G996"/>
      <c r="H996"/>
      <c r="I996"/>
      <c r="J996"/>
      <c r="K996"/>
      <c r="L996"/>
      <c r="M996"/>
    </row>
    <row r="997" spans="1:13" x14ac:dyDescent="0.25">
      <c r="A997"/>
      <c r="B997"/>
      <c r="C997"/>
      <c r="D997"/>
      <c r="E997"/>
      <c r="F997"/>
      <c r="G997"/>
      <c r="H997"/>
      <c r="I997"/>
      <c r="J997"/>
      <c r="K997"/>
      <c r="L997"/>
      <c r="M997"/>
    </row>
    <row r="998" spans="1:13" x14ac:dyDescent="0.25">
      <c r="A998"/>
      <c r="B998"/>
      <c r="C998"/>
      <c r="D998"/>
      <c r="E998"/>
      <c r="F998"/>
      <c r="G998"/>
      <c r="H998"/>
      <c r="I998"/>
      <c r="J998"/>
      <c r="K998"/>
      <c r="L998"/>
      <c r="M998"/>
    </row>
    <row r="999" spans="1:13" x14ac:dyDescent="0.25">
      <c r="A999"/>
      <c r="B999"/>
      <c r="C999"/>
      <c r="D999"/>
      <c r="E999"/>
      <c r="F999"/>
      <c r="G999"/>
      <c r="H999"/>
      <c r="I999"/>
      <c r="J999"/>
      <c r="K999"/>
      <c r="L999"/>
      <c r="M999"/>
    </row>
    <row r="1000" spans="1:13" x14ac:dyDescent="0.25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1:13" x14ac:dyDescent="0.25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1:13" x14ac:dyDescent="0.25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1:13" x14ac:dyDescent="0.25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1:13" x14ac:dyDescent="0.25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1:13" x14ac:dyDescent="0.25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1:13" x14ac:dyDescent="0.25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1:13" x14ac:dyDescent="0.25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1:13" x14ac:dyDescent="0.25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1:13" x14ac:dyDescent="0.25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1:13" x14ac:dyDescent="0.25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1:13" x14ac:dyDescent="0.25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1:13" x14ac:dyDescent="0.25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1:13" x14ac:dyDescent="0.25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1:13" x14ac:dyDescent="0.25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1:13" x14ac:dyDescent="0.25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1:13" x14ac:dyDescent="0.25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1:13" x14ac:dyDescent="0.25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1:13" x14ac:dyDescent="0.25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1:13" x14ac:dyDescent="0.25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1:13" x14ac:dyDescent="0.25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1:13" x14ac:dyDescent="0.25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1:13" x14ac:dyDescent="0.25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1:13" x14ac:dyDescent="0.2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1:13" x14ac:dyDescent="0.25">
      <c r="A1024" s="81"/>
      <c r="B1024" s="81"/>
      <c r="C1024" s="81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</row>
    <row r="1025" spans="1:13" x14ac:dyDescent="0.25">
      <c r="A1025" s="81"/>
      <c r="B1025" s="81"/>
      <c r="C1025" s="81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</row>
  </sheetData>
  <mergeCells count="9">
    <mergeCell ref="F4:G4"/>
    <mergeCell ref="H4:I4"/>
    <mergeCell ref="J4:K4"/>
    <mergeCell ref="L4:M4"/>
    <mergeCell ref="A1:M1"/>
    <mergeCell ref="A2:M2"/>
    <mergeCell ref="A4:A5"/>
    <mergeCell ref="B4:C4"/>
    <mergeCell ref="D4:E4"/>
  </mergeCells>
  <conditionalFormatting sqref="C6:C8">
    <cfRule type="expression" dxfId="17" priority="21">
      <formula>AND((C6-#REF!)&gt;-2.9,(C6-#REF!)&lt;2.9)</formula>
    </cfRule>
    <cfRule type="expression" dxfId="16" priority="22">
      <formula>((C6-#REF!)&gt;=2.9)</formula>
    </cfRule>
    <cfRule type="expression" dxfId="15" priority="23">
      <formula>((C6-#REF!)&lt;=-2.9)</formula>
    </cfRule>
  </conditionalFormatting>
  <conditionalFormatting sqref="B6:B8">
    <cfRule type="iconSet" priority="24">
      <iconSet iconSet="3Arrows" showValue="0">
        <cfvo type="percent" val="0"/>
        <cfvo type="num" val="-2.9"/>
        <cfvo type="num" val="2.9"/>
      </iconSet>
    </cfRule>
  </conditionalFormatting>
  <conditionalFormatting sqref="E6:E8">
    <cfRule type="expression" dxfId="14" priority="17">
      <formula>AND((E6-#REF!)&gt;-2.9,(E6-#REF!)&lt;2.9)</formula>
    </cfRule>
    <cfRule type="expression" dxfId="13" priority="18">
      <formula>((E6-#REF!)&gt;=2.9)</formula>
    </cfRule>
    <cfRule type="expression" dxfId="12" priority="19">
      <formula>((E6-#REF!)&lt;=-2.9)</formula>
    </cfRule>
  </conditionalFormatting>
  <conditionalFormatting sqref="D6:D8">
    <cfRule type="iconSet" priority="20">
      <iconSet iconSet="3Arrows" showValue="0">
        <cfvo type="percent" val="0"/>
        <cfvo type="num" val="-2.9"/>
        <cfvo type="num" val="2.9"/>
      </iconSet>
    </cfRule>
  </conditionalFormatting>
  <conditionalFormatting sqref="G6:G8">
    <cfRule type="expression" dxfId="11" priority="13">
      <formula>AND((G6-#REF!)&gt;-2.9,(G6-#REF!)&lt;2.9)</formula>
    </cfRule>
    <cfRule type="expression" dxfId="10" priority="14">
      <formula>((G6-#REF!)&gt;=2.9)</formula>
    </cfRule>
    <cfRule type="expression" dxfId="9" priority="15">
      <formula>((G6-#REF!)&lt;=-2.9)</formula>
    </cfRule>
  </conditionalFormatting>
  <conditionalFormatting sqref="F6:F8">
    <cfRule type="iconSet" priority="16">
      <iconSet iconSet="3Arrows" showValue="0">
        <cfvo type="percent" val="0"/>
        <cfvo type="num" val="-2.9"/>
        <cfvo type="num" val="2.9"/>
      </iconSet>
    </cfRule>
  </conditionalFormatting>
  <conditionalFormatting sqref="I6:I8">
    <cfRule type="expression" dxfId="8" priority="9">
      <formula>AND((I6-#REF!)&gt;-2.9,(I6-#REF!)&lt;2.9)</formula>
    </cfRule>
    <cfRule type="expression" dxfId="7" priority="10">
      <formula>((I6-#REF!)&gt;=2.9)</formula>
    </cfRule>
    <cfRule type="expression" dxfId="6" priority="11">
      <formula>((I6-#REF!)&lt;=-2.9)</formula>
    </cfRule>
  </conditionalFormatting>
  <conditionalFormatting sqref="H6:H8">
    <cfRule type="iconSet" priority="12">
      <iconSet iconSet="3Arrows" showValue="0">
        <cfvo type="percent" val="0"/>
        <cfvo type="num" val="-2.9"/>
        <cfvo type="num" val="2.9"/>
      </iconSet>
    </cfRule>
  </conditionalFormatting>
  <conditionalFormatting sqref="K6:K8">
    <cfRule type="expression" dxfId="5" priority="5">
      <formula>AND((K6-#REF!)&gt;-2.9,(K6-#REF!)&lt;2.9)</formula>
    </cfRule>
    <cfRule type="expression" dxfId="4" priority="6">
      <formula>((K6-#REF!)&gt;=2.9)</formula>
    </cfRule>
    <cfRule type="expression" dxfId="3" priority="7">
      <formula>((K6-#REF!)&lt;=-2.9)</formula>
    </cfRule>
  </conditionalFormatting>
  <conditionalFormatting sqref="J6:J8">
    <cfRule type="iconSet" priority="8">
      <iconSet iconSet="3Arrows" showValue="0">
        <cfvo type="percent" val="0"/>
        <cfvo type="num" val="-2.9"/>
        <cfvo type="num" val="2.9"/>
      </iconSet>
    </cfRule>
  </conditionalFormatting>
  <conditionalFormatting sqref="M6:M8">
    <cfRule type="expression" dxfId="2" priority="1">
      <formula>AND((M6-#REF!)&gt;-2.9,(M6-#REF!)&lt;2.9)</formula>
    </cfRule>
    <cfRule type="expression" dxfId="1" priority="2">
      <formula>((M6-#REF!)&gt;=2.9)</formula>
    </cfRule>
    <cfRule type="expression" dxfId="0" priority="3">
      <formula>((M6-#REF!)&lt;=-2.9)</formula>
    </cfRule>
  </conditionalFormatting>
  <conditionalFormatting sqref="L6:L8">
    <cfRule type="iconSet" priority="4">
      <iconSet iconSet="3Arrows" showValue="0">
        <cfvo type="percent" val="0"/>
        <cfvo type="num" val="-2.9"/>
        <cfvo type="num" val="2.9"/>
      </iconSet>
    </cfRule>
  </conditionalFormatting>
  <printOptions horizontalCentered="1"/>
  <pageMargins left="0.19685039370078741" right="0.19685039370078741" top="0.19685039370078741" bottom="0.19685039370078741" header="0" footer="0"/>
  <pageSetup paperSize="9" scale="87" orientation="landscape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51201" r:id="rId4" name="CommandButton1">
          <controlPr defaultSize="0" autoLine="0" r:id="rId5">
            <anchor moveWithCells="1">
              <from>
                <xdr:col>14</xdr:col>
                <xdr:colOff>0</xdr:colOff>
                <xdr:row>0</xdr:row>
                <xdr:rowOff>209550</xdr:rowOff>
              </from>
              <to>
                <xdr:col>17</xdr:col>
                <xdr:colOff>85725</xdr:colOff>
                <xdr:row>3</xdr:row>
                <xdr:rowOff>76200</xdr:rowOff>
              </to>
            </anchor>
          </controlPr>
        </control>
      </mc:Choice>
      <mc:Fallback>
        <control shapeId="51201" r:id="rId4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8</vt:i4>
      </vt:variant>
    </vt:vector>
  </HeadingPairs>
  <TitlesOfParts>
    <vt:vector size="12" baseType="lpstr">
      <vt:lpstr>Пшеница мягкая (Л) (5)</vt:lpstr>
      <vt:lpstr>Пшеница мягкая (Л) (3)</vt:lpstr>
      <vt:lpstr>Пшеница твердая 5 окт</vt:lpstr>
      <vt:lpstr>цвет (стрелочки)</vt:lpstr>
      <vt:lpstr>'Пшеница мягкая (Л) (3)'!Заголовки_для_печати</vt:lpstr>
      <vt:lpstr>'Пшеница мягкая (Л) (5)'!Заголовки_для_печати</vt:lpstr>
      <vt:lpstr>'Пшеница твердая 5 окт'!Заголовки_для_печати</vt:lpstr>
      <vt:lpstr>'цвет (стрелочки)'!Заголовки_для_печати</vt:lpstr>
      <vt:lpstr>'Пшеница мягкая (Л) (3)'!Область_печати</vt:lpstr>
      <vt:lpstr>'Пшеница мягкая (Л) (5)'!Область_печати</vt:lpstr>
      <vt:lpstr>'Пшеница твердая 5 окт'!Область_печати</vt:lpstr>
      <vt:lpstr>'цвет (стрелочки)'!Область_печати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Дмитриев Артур Александрович</cp:lastModifiedBy>
  <cp:lastPrinted>2026-09-16T08:57:24Z</cp:lastPrinted>
  <dcterms:created xsi:type="dcterms:W3CDTF">2018-08-21T14:04:12Z</dcterms:created>
  <dcterms:modified xsi:type="dcterms:W3CDTF">2026-10-06T14:41:46Z</dcterms:modified>
</cp:coreProperties>
</file>